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games\retroplex\"/>
    </mc:Choice>
  </mc:AlternateContent>
  <xr:revisionPtr revIDLastSave="0" documentId="13_ncr:1_{55B35B9B-0018-4083-8E03-1408614E5841}" xr6:coauthVersionLast="47" xr6:coauthVersionMax="47" xr10:uidLastSave="{00000000-0000-0000-0000-000000000000}"/>
  <bookViews>
    <workbookView xWindow="3585" yWindow="2115" windowWidth="28800" windowHeight="15345" xr2:uid="{83A9A88B-8766-467E-8A08-0E4F5D4DE81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" l="1"/>
  <c r="I61" i="1" s="1"/>
  <c r="F62" i="1"/>
  <c r="I62" i="1" s="1"/>
  <c r="F63" i="1"/>
  <c r="F64" i="1"/>
  <c r="F60" i="1"/>
  <c r="I60" i="1" s="1"/>
  <c r="I58" i="1"/>
  <c r="H58" i="1"/>
  <c r="I59" i="1"/>
  <c r="H59" i="1"/>
  <c r="H60" i="1"/>
  <c r="H61" i="1"/>
  <c r="H62" i="1"/>
  <c r="H63" i="1"/>
  <c r="I63" i="1"/>
  <c r="H64" i="1"/>
  <c r="I64" i="1"/>
  <c r="F58" i="1"/>
  <c r="F59" i="1"/>
  <c r="B58" i="1"/>
  <c r="B59" i="1"/>
  <c r="B60" i="1"/>
  <c r="B61" i="1"/>
  <c r="B62" i="1"/>
  <c r="B63" i="1"/>
  <c r="B64" i="1"/>
  <c r="B65" i="1"/>
  <c r="B66" i="1"/>
  <c r="B67" i="1"/>
  <c r="R92" i="1"/>
  <c r="B57" i="1"/>
  <c r="H57" i="1"/>
  <c r="G57" i="1"/>
  <c r="F57" i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97" i="1"/>
  <c r="H97" i="1" s="1"/>
  <c r="R71" i="1"/>
  <c r="R80" i="1"/>
  <c r="R83" i="1"/>
  <c r="R70" i="1"/>
  <c r="P86" i="1"/>
  <c r="P87" i="1"/>
  <c r="P88" i="1"/>
  <c r="P89" i="1"/>
  <c r="P90" i="1"/>
  <c r="M90" i="1"/>
  <c r="M89" i="1"/>
  <c r="M88" i="1"/>
  <c r="M87" i="1"/>
  <c r="M86" i="1"/>
  <c r="J90" i="1"/>
  <c r="J89" i="1"/>
  <c r="J87" i="1"/>
  <c r="J88" i="1"/>
  <c r="J86" i="1"/>
  <c r="G90" i="1"/>
  <c r="R90" i="1" s="1"/>
  <c r="G89" i="1"/>
  <c r="R89" i="1" s="1"/>
  <c r="G88" i="1"/>
  <c r="R88" i="1" s="1"/>
  <c r="G87" i="1"/>
  <c r="R87" i="1" s="1"/>
  <c r="G86" i="1"/>
  <c r="R86" i="1" s="1"/>
  <c r="G84" i="1"/>
  <c r="J84" i="1"/>
  <c r="M84" i="1"/>
  <c r="P84" i="1"/>
  <c r="P85" i="1"/>
  <c r="R85" i="1" s="1"/>
  <c r="P91" i="1"/>
  <c r="M91" i="1"/>
  <c r="J91" i="1"/>
  <c r="G91" i="1"/>
  <c r="F53" i="1"/>
  <c r="G53" i="1"/>
  <c r="F54" i="1"/>
  <c r="G54" i="1"/>
  <c r="F55" i="1"/>
  <c r="G55" i="1"/>
  <c r="F56" i="1"/>
  <c r="G56" i="1"/>
  <c r="B53" i="1"/>
  <c r="B54" i="1"/>
  <c r="B55" i="1"/>
  <c r="B56" i="1"/>
  <c r="H45" i="1"/>
  <c r="G45" i="1"/>
  <c r="F45" i="1"/>
  <c r="B45" i="1"/>
  <c r="B46" i="1"/>
  <c r="B47" i="1"/>
  <c r="B48" i="1"/>
  <c r="B49" i="1"/>
  <c r="B50" i="1"/>
  <c r="B51" i="1"/>
  <c r="B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7" i="1"/>
  <c r="G48" i="1"/>
  <c r="G49" i="1"/>
  <c r="G50" i="1"/>
  <c r="G51" i="1"/>
  <c r="G52" i="1"/>
  <c r="G2" i="1"/>
  <c r="F46" i="1"/>
  <c r="F47" i="1"/>
  <c r="F48" i="1"/>
  <c r="F49" i="1"/>
  <c r="F50" i="1"/>
  <c r="F51" i="1"/>
  <c r="F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" i="1"/>
  <c r="F4" i="1"/>
  <c r="F3" i="1"/>
  <c r="F2" i="1"/>
  <c r="P73" i="1"/>
  <c r="P74" i="1"/>
  <c r="P75" i="1"/>
  <c r="P78" i="1"/>
  <c r="P79" i="1"/>
  <c r="P81" i="1"/>
  <c r="P82" i="1"/>
  <c r="M73" i="1"/>
  <c r="M74" i="1"/>
  <c r="M75" i="1"/>
  <c r="M76" i="1"/>
  <c r="M77" i="1"/>
  <c r="M78" i="1"/>
  <c r="M79" i="1"/>
  <c r="M81" i="1"/>
  <c r="M82" i="1"/>
  <c r="J73" i="1"/>
  <c r="J74" i="1"/>
  <c r="J75" i="1"/>
  <c r="J78" i="1"/>
  <c r="J79" i="1"/>
  <c r="J81" i="1"/>
  <c r="J82" i="1"/>
  <c r="P72" i="1"/>
  <c r="M72" i="1"/>
  <c r="J72" i="1"/>
  <c r="G72" i="1"/>
  <c r="G73" i="1"/>
  <c r="G74" i="1"/>
  <c r="G75" i="1"/>
  <c r="G76" i="1"/>
  <c r="G77" i="1"/>
  <c r="G78" i="1"/>
  <c r="G79" i="1"/>
  <c r="G81" i="1"/>
  <c r="G8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J76" i="1" s="1"/>
  <c r="B195" i="2"/>
  <c r="B196" i="2"/>
  <c r="P76" i="1" s="1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1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68" i="1"/>
  <c r="H2" i="1"/>
  <c r="R72" i="1" l="1"/>
  <c r="I54" i="1"/>
  <c r="R75" i="1"/>
  <c r="R76" i="1"/>
  <c r="R74" i="1"/>
  <c r="R91" i="1"/>
  <c r="I53" i="1"/>
  <c r="R84" i="1"/>
  <c r="R73" i="1"/>
  <c r="I18" i="1"/>
  <c r="I56" i="1"/>
  <c r="R82" i="1"/>
  <c r="R81" i="1"/>
  <c r="I55" i="1"/>
  <c r="R78" i="1"/>
  <c r="I57" i="1"/>
  <c r="R79" i="1"/>
  <c r="I46" i="1"/>
  <c r="I17" i="1"/>
  <c r="I44" i="1"/>
  <c r="I45" i="1"/>
  <c r="I22" i="1"/>
  <c r="I16" i="1"/>
  <c r="I49" i="1"/>
  <c r="I48" i="1"/>
  <c r="I47" i="1"/>
  <c r="I51" i="1"/>
  <c r="I52" i="1"/>
  <c r="I50" i="1"/>
  <c r="I28" i="1"/>
  <c r="I26" i="1"/>
  <c r="I29" i="1"/>
  <c r="I27" i="1"/>
  <c r="I25" i="1"/>
  <c r="I19" i="1"/>
  <c r="I24" i="1"/>
  <c r="I30" i="1"/>
  <c r="I21" i="1"/>
  <c r="I23" i="1"/>
  <c r="I31" i="1"/>
  <c r="I20" i="1"/>
  <c r="I42" i="1"/>
  <c r="I12" i="1"/>
  <c r="I41" i="1"/>
  <c r="I11" i="1"/>
  <c r="I43" i="1"/>
  <c r="I40" i="1"/>
  <c r="I9" i="1"/>
  <c r="I2" i="1"/>
  <c r="I5" i="1"/>
  <c r="I15" i="1"/>
  <c r="I14" i="1"/>
  <c r="I13" i="1"/>
  <c r="I39" i="1"/>
  <c r="I8" i="1"/>
  <c r="I38" i="1"/>
  <c r="I7" i="1"/>
  <c r="I3" i="1"/>
  <c r="I37" i="1"/>
  <c r="I6" i="1"/>
  <c r="I36" i="1"/>
  <c r="I35" i="1"/>
  <c r="I34" i="1"/>
  <c r="I10" i="1"/>
  <c r="I33" i="1"/>
  <c r="I32" i="1"/>
  <c r="J77" i="1"/>
  <c r="R77" i="1" s="1"/>
  <c r="I4" i="1"/>
  <c r="P77" i="1"/>
</calcChain>
</file>

<file path=xl/sharedStrings.xml><?xml version="1.0" encoding="utf-8"?>
<sst xmlns="http://schemas.openxmlformats.org/spreadsheetml/2006/main" count="325" uniqueCount="115">
  <si>
    <t>Empty</t>
  </si>
  <si>
    <t>Index</t>
  </si>
  <si>
    <t>Name</t>
  </si>
  <si>
    <t>Base</t>
  </si>
  <si>
    <t>Custom</t>
  </si>
  <si>
    <t>Hex</t>
  </si>
  <si>
    <t>Zonk</t>
  </si>
  <si>
    <t>Murphy</t>
  </si>
  <si>
    <t>Infotron</t>
  </si>
  <si>
    <t>RAM chip - Chip</t>
  </si>
  <si>
    <t>Wall</t>
  </si>
  <si>
    <t>Exit</t>
  </si>
  <si>
    <t>Floppy - Orange</t>
  </si>
  <si>
    <t>Port - Right</t>
  </si>
  <si>
    <t>0A</t>
  </si>
  <si>
    <t>Port - Down</t>
  </si>
  <si>
    <t>0B</t>
  </si>
  <si>
    <t>Port - Left</t>
  </si>
  <si>
    <t>0C</t>
  </si>
  <si>
    <t>Port - Up</t>
  </si>
  <si>
    <t>Gravity port - Right</t>
  </si>
  <si>
    <t>Gravity port - Down</t>
  </si>
  <si>
    <t>0F</t>
  </si>
  <si>
    <t>Gravity port - Left</t>
  </si>
  <si>
    <t>Gravity port - Up</t>
  </si>
  <si>
    <t>Snik snak</t>
  </si>
  <si>
    <t>Floppy - Yellow</t>
  </si>
  <si>
    <t>Terminal</t>
  </si>
  <si>
    <t>Floppy - Red</t>
  </si>
  <si>
    <t>Port - Two-way vertical</t>
  </si>
  <si>
    <t>Port - Two-way horizontal</t>
  </si>
  <si>
    <t>Port - 4-way</t>
  </si>
  <si>
    <t>Electron</t>
  </si>
  <si>
    <t>Bug</t>
  </si>
  <si>
    <t>RAM chip - Left</t>
  </si>
  <si>
    <t>RAM chip - Right</t>
  </si>
  <si>
    <t>Hardware (decoration)</t>
  </si>
  <si>
    <t>1D</t>
  </si>
  <si>
    <t>1F</t>
  </si>
  <si>
    <t>RAM chip - Top</t>
  </si>
  <si>
    <t>RAM chip - Bottom</t>
  </si>
  <si>
    <t>Map</t>
  </si>
  <si>
    <t>Error</t>
  </si>
  <si>
    <t>Custom Table</t>
  </si>
  <si>
    <t>TL</t>
  </si>
  <si>
    <t>TR</t>
  </si>
  <si>
    <t>BR</t>
  </si>
  <si>
    <t>TLA</t>
  </si>
  <si>
    <t>BLA</t>
  </si>
  <si>
    <t>TRA</t>
  </si>
  <si>
    <t>BRA</t>
  </si>
  <si>
    <t>ID</t>
  </si>
  <si>
    <t>Border - Corner</t>
  </si>
  <si>
    <t>Border - Horizontal</t>
  </si>
  <si>
    <t>Border - Vertical</t>
  </si>
  <si>
    <t>BL</t>
  </si>
  <si>
    <t>Attr</t>
  </si>
  <si>
    <t>TLP</t>
  </si>
  <si>
    <t>BLP</t>
  </si>
  <si>
    <t>TRP</t>
  </si>
  <si>
    <t>BRP</t>
  </si>
  <si>
    <t>04</t>
  </si>
  <si>
    <t>DYNAMIC BUFFER</t>
  </si>
  <si>
    <t>8E</t>
  </si>
  <si>
    <t>Snik Snak - UL</t>
  </si>
  <si>
    <t>Snik Snak - L</t>
  </si>
  <si>
    <t>Snik Snak - DL</t>
  </si>
  <si>
    <t>Snik Snak - D</t>
  </si>
  <si>
    <t>Snik Snak - DR</t>
  </si>
  <si>
    <t>Snik Snak - R</t>
  </si>
  <si>
    <t>Snik Snak - UR</t>
  </si>
  <si>
    <t>90</t>
  </si>
  <si>
    <t>91</t>
  </si>
  <si>
    <t>92</t>
  </si>
  <si>
    <t>93</t>
  </si>
  <si>
    <t>94</t>
  </si>
  <si>
    <t>Snik snak - U (Dup)</t>
  </si>
  <si>
    <t>Zonk - H</t>
  </si>
  <si>
    <t>Zonk - HL</t>
  </si>
  <si>
    <t>Zonk - V</t>
  </si>
  <si>
    <t>Zonk - VL</t>
  </si>
  <si>
    <t>08</t>
  </si>
  <si>
    <t>06</t>
  </si>
  <si>
    <t>H</t>
  </si>
  <si>
    <t>V</t>
  </si>
  <si>
    <t>HV</t>
  </si>
  <si>
    <t>-</t>
  </si>
  <si>
    <t>UP</t>
  </si>
  <si>
    <t>UP LEFT</t>
  </si>
  <si>
    <t xml:space="preserve">LEFT </t>
  </si>
  <si>
    <t>DOWN-LEFT</t>
  </si>
  <si>
    <t>DOWN</t>
  </si>
  <si>
    <t>DOWN-RIGHT</t>
  </si>
  <si>
    <t>RIGHT</t>
  </si>
  <si>
    <t>UP-RIGHT</t>
  </si>
  <si>
    <t>LEFT</t>
  </si>
  <si>
    <t>UP-LEFT</t>
  </si>
  <si>
    <t>UP (MED)</t>
  </si>
  <si>
    <t>UP (WIDE)</t>
  </si>
  <si>
    <t>LEFT (SMALL)</t>
  </si>
  <si>
    <t>LEFT (MID)</t>
  </si>
  <si>
    <t>LEFT (WIDE)</t>
  </si>
  <si>
    <t>DOWN (MID)</t>
  </si>
  <si>
    <t>DOWN (WIDE)</t>
  </si>
  <si>
    <t>RIGHT (SMALL)</t>
  </si>
  <si>
    <t>RIGHT (MID)</t>
  </si>
  <si>
    <t>RIGHT (WIDE)</t>
  </si>
  <si>
    <t>Murphy (right)</t>
  </si>
  <si>
    <t>Explode 0</t>
  </si>
  <si>
    <t>Explode 1</t>
  </si>
  <si>
    <t>Explode 2</t>
  </si>
  <si>
    <t>Explode 3</t>
  </si>
  <si>
    <t>Explode 4</t>
  </si>
  <si>
    <t>Explode 5</t>
  </si>
  <si>
    <t>Explode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</si>
</sst>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4F5E-469E-4699-A97E-743904F0E2B8}">
  <dimension ref="A1:S144"/>
  <sheetViews>
    <sheetView tabSelected="1" topLeftCell="A46" workbookViewId="0">
      <selection activeCell="F58" sqref="F58:G64"/>
    </sheetView>
  </sheetViews>
  <sheetFormatPr defaultRowHeight="15" x14ac:dyDescent="0.25"/>
  <cols>
    <col min="2" max="2" width="13.5703125" style="2" bestFit="1" customWidth="1"/>
    <col min="3" max="3" width="27.85546875" customWidth="1"/>
    <col min="4" max="4" width="11.28515625" style="2" customWidth="1"/>
    <col min="5" max="5" width="14.42578125" style="2" customWidth="1"/>
    <col min="6" max="7" width="9.140625" style="2"/>
  </cols>
  <sheetData>
    <row r="1" spans="1:19" s="4" customFormat="1" x14ac:dyDescent="0.25">
      <c r="A1" s="4" t="s">
        <v>1</v>
      </c>
      <c r="B1" s="5" t="s">
        <v>5</v>
      </c>
      <c r="C1" s="4" t="s">
        <v>2</v>
      </c>
      <c r="D1" s="5" t="s">
        <v>4</v>
      </c>
      <c r="E1" s="5" t="s">
        <v>3</v>
      </c>
      <c r="F1" s="5" t="s">
        <v>41</v>
      </c>
      <c r="G1" s="5" t="s">
        <v>56</v>
      </c>
      <c r="H1" s="4" t="s">
        <v>42</v>
      </c>
    </row>
    <row r="2" spans="1:19" x14ac:dyDescent="0.25">
      <c r="A2">
        <v>0</v>
      </c>
      <c r="B2" s="3" t="str">
        <f>RIGHT("0"&amp;DEC2HEX(A2),2)</f>
        <v>00</v>
      </c>
      <c r="C2" t="s">
        <v>0</v>
      </c>
      <c r="D2" s="2">
        <v>1</v>
      </c>
      <c r="E2" s="2">
        <v>1</v>
      </c>
      <c r="F2" s="2" t="str">
        <f>TEXT(DEC2HEX(IF(D2,128 + E2, E2/4)),"00")</f>
        <v>81</v>
      </c>
      <c r="G2" s="2" t="str">
        <f>IF(D2,"00",VLOOKUP(E2,Sheet2!$A:$B,2))</f>
        <v>00</v>
      </c>
      <c r="H2" t="str">
        <f t="shared" ref="H2:H41" si="0">IF(D2,"",IF(_xlfn.BITAND(E2,3),"Error",""))</f>
        <v/>
      </c>
      <c r="I2" t="str">
        <f>"DATA BYTE $"&amp;F2&amp;", $"&amp; G2&amp;" ' "&amp;A2&amp;" - "&amp;C2&amp;IF(D2," [*]","")</f>
        <v>DATA BYTE $81, $00 ' 0 - Empty [*]</v>
      </c>
      <c r="R2" s="2"/>
      <c r="S2" s="2"/>
    </row>
    <row r="3" spans="1:19" x14ac:dyDescent="0.25">
      <c r="A3">
        <v>1</v>
      </c>
      <c r="B3" s="3" t="str">
        <f t="shared" ref="B3:B52" si="1">RIGHT("0"&amp;DEC2HEX(A3),2)</f>
        <v>01</v>
      </c>
      <c r="C3" t="s">
        <v>6</v>
      </c>
      <c r="D3" s="2">
        <v>0</v>
      </c>
      <c r="E3" s="2">
        <v>196</v>
      </c>
      <c r="F3" s="2" t="str">
        <f t="shared" ref="F3:F4" si="2">TEXT(DEC2HEX(IF(D3,128 + E3, E3/4)),"00")</f>
        <v>31</v>
      </c>
      <c r="G3" s="2" t="str">
        <f>IF(D3,"00",VLOOKUP(E3,Sheet2!$A:$B,2))</f>
        <v>04</v>
      </c>
      <c r="H3" t="str">
        <f t="shared" si="0"/>
        <v/>
      </c>
      <c r="I3" t="str">
        <f t="shared" ref="I3:I44" si="3">"DATA BYTE $"&amp;F3&amp;", $"&amp; G3&amp;" ' "&amp;A3&amp;" - "&amp;C3&amp;IF(D3," [*]","")</f>
        <v>DATA BYTE $31, $04 ' 1 - Zonk</v>
      </c>
    </row>
    <row r="4" spans="1:19" x14ac:dyDescent="0.25">
      <c r="A4">
        <v>2</v>
      </c>
      <c r="B4" s="3" t="str">
        <f t="shared" si="1"/>
        <v>02</v>
      </c>
      <c r="C4" t="s">
        <v>3</v>
      </c>
      <c r="D4" s="2">
        <v>0</v>
      </c>
      <c r="E4" s="2">
        <v>8</v>
      </c>
      <c r="F4" s="2" t="str">
        <f t="shared" si="2"/>
        <v>02</v>
      </c>
      <c r="G4" s="2" t="str">
        <f>IF(D4,"00",VLOOKUP(E4,Sheet2!$A:$B,2))</f>
        <v>02</v>
      </c>
      <c r="H4" t="str">
        <f t="shared" si="0"/>
        <v/>
      </c>
      <c r="I4" t="str">
        <f t="shared" si="3"/>
        <v>DATA BYTE $02, $02 ' 2 - Base</v>
      </c>
    </row>
    <row r="5" spans="1:19" x14ac:dyDescent="0.25">
      <c r="A5">
        <v>3</v>
      </c>
      <c r="B5" s="3" t="str">
        <f t="shared" si="1"/>
        <v>03</v>
      </c>
      <c r="C5" t="s">
        <v>7</v>
      </c>
      <c r="D5" s="2">
        <v>0</v>
      </c>
      <c r="E5" s="2">
        <v>184</v>
      </c>
      <c r="F5" s="2" t="str">
        <f t="shared" ref="F5:F44" si="4">TEXT(DEC2HEX(IF(D5,128 + E5, E5/4)),"00")</f>
        <v>2E</v>
      </c>
      <c r="G5" s="2" t="str">
        <f>IF(D5,"00",VLOOKUP(E5,Sheet2!$A:$B,2))</f>
        <v>00</v>
      </c>
      <c r="H5" t="str">
        <f t="shared" si="0"/>
        <v/>
      </c>
      <c r="I5" t="str">
        <f t="shared" si="3"/>
        <v>DATA BYTE $2E, $00 ' 3 - Murphy</v>
      </c>
    </row>
    <row r="6" spans="1:19" x14ac:dyDescent="0.25">
      <c r="A6">
        <v>4</v>
      </c>
      <c r="B6" s="3" t="str">
        <f t="shared" si="1"/>
        <v>04</v>
      </c>
      <c r="C6" t="s">
        <v>8</v>
      </c>
      <c r="D6" s="2">
        <v>1</v>
      </c>
      <c r="E6" s="2">
        <v>13</v>
      </c>
      <c r="F6" s="2" t="str">
        <f t="shared" si="4"/>
        <v>8D</v>
      </c>
      <c r="G6" s="2" t="str">
        <f>IF(D6,"00",VLOOKUP(E6,Sheet2!$A:$B,2))</f>
        <v>00</v>
      </c>
      <c r="H6" t="str">
        <f t="shared" si="0"/>
        <v/>
      </c>
      <c r="I6" t="str">
        <f t="shared" si="3"/>
        <v>DATA BYTE $8D, $00 ' 4 - Infotron [*]</v>
      </c>
    </row>
    <row r="7" spans="1:19" x14ac:dyDescent="0.25">
      <c r="A7">
        <v>5</v>
      </c>
      <c r="B7" s="3" t="str">
        <f t="shared" si="1"/>
        <v>05</v>
      </c>
      <c r="C7" t="s">
        <v>9</v>
      </c>
      <c r="D7" s="2">
        <v>0</v>
      </c>
      <c r="E7" s="2">
        <v>124</v>
      </c>
      <c r="F7" s="2" t="str">
        <f t="shared" si="4"/>
        <v>1F</v>
      </c>
      <c r="G7" s="2" t="str">
        <f>IF(D7,"00",VLOOKUP(E7,Sheet2!$A:$B,2))</f>
        <v>04</v>
      </c>
      <c r="H7" t="str">
        <f t="shared" si="0"/>
        <v/>
      </c>
      <c r="I7" t="str">
        <f t="shared" si="3"/>
        <v>DATA BYTE $1F, $04 ' 5 - RAM chip - Chip</v>
      </c>
    </row>
    <row r="8" spans="1:19" x14ac:dyDescent="0.25">
      <c r="A8">
        <v>6</v>
      </c>
      <c r="B8" s="3" t="str">
        <f t="shared" si="1"/>
        <v>06</v>
      </c>
      <c r="C8" t="s">
        <v>10</v>
      </c>
      <c r="D8" s="2">
        <v>0</v>
      </c>
      <c r="E8" s="2">
        <v>24</v>
      </c>
      <c r="F8" s="2" t="str">
        <f t="shared" si="4"/>
        <v>06</v>
      </c>
      <c r="G8" s="2" t="str">
        <f>IF(D8,"00",VLOOKUP(E8,Sheet2!$A:$B,2))</f>
        <v>04</v>
      </c>
      <c r="H8" t="str">
        <f t="shared" si="0"/>
        <v/>
      </c>
      <c r="I8" t="str">
        <f t="shared" si="3"/>
        <v>DATA BYTE $06, $04 ' 6 - Wall</v>
      </c>
    </row>
    <row r="9" spans="1:19" x14ac:dyDescent="0.25">
      <c r="A9">
        <v>7</v>
      </c>
      <c r="B9" s="3" t="str">
        <f t="shared" si="1"/>
        <v>07</v>
      </c>
      <c r="C9" t="s">
        <v>11</v>
      </c>
      <c r="D9" s="2">
        <v>0</v>
      </c>
      <c r="E9" s="2">
        <v>28</v>
      </c>
      <c r="F9" s="2" t="str">
        <f t="shared" si="4"/>
        <v>07</v>
      </c>
      <c r="G9" s="2" t="str">
        <f>IF(D9,"00",VLOOKUP(E9,Sheet2!$A:$B,2))</f>
        <v>04</v>
      </c>
      <c r="H9" t="str">
        <f t="shared" si="0"/>
        <v/>
      </c>
      <c r="I9" t="str">
        <f t="shared" si="3"/>
        <v>DATA BYTE $07, $04 ' 7 - Exit</v>
      </c>
    </row>
    <row r="10" spans="1:19" x14ac:dyDescent="0.25">
      <c r="A10">
        <v>8</v>
      </c>
      <c r="B10" s="3" t="str">
        <f t="shared" si="1"/>
        <v>08</v>
      </c>
      <c r="C10" t="s">
        <v>12</v>
      </c>
      <c r="D10" s="2">
        <v>0</v>
      </c>
      <c r="E10" s="2">
        <v>192</v>
      </c>
      <c r="F10" s="2" t="str">
        <f t="shared" si="4"/>
        <v>30</v>
      </c>
      <c r="G10" s="2" t="str">
        <f>IF(D10,"00",VLOOKUP(E10,Sheet2!$A:$B,2))</f>
        <v>06</v>
      </c>
      <c r="H10" t="str">
        <f t="shared" si="0"/>
        <v/>
      </c>
      <c r="I10" t="str">
        <f t="shared" si="3"/>
        <v>DATA BYTE $30, $06 ' 8 - Floppy - Orange</v>
      </c>
    </row>
    <row r="11" spans="1:19" x14ac:dyDescent="0.25">
      <c r="A11">
        <v>9</v>
      </c>
      <c r="B11" s="3" t="str">
        <f t="shared" si="1"/>
        <v>09</v>
      </c>
      <c r="C11" t="s">
        <v>13</v>
      </c>
      <c r="D11" s="2">
        <v>0</v>
      </c>
      <c r="E11" s="2">
        <v>20</v>
      </c>
      <c r="F11" s="2" t="str">
        <f t="shared" si="4"/>
        <v>05</v>
      </c>
      <c r="G11" s="2" t="str">
        <f>IF(D11,"00",VLOOKUP(E11,Sheet2!$A:$B,2))</f>
        <v>04</v>
      </c>
      <c r="H11" t="str">
        <f t="shared" si="0"/>
        <v/>
      </c>
      <c r="I11" t="str">
        <f t="shared" si="3"/>
        <v>DATA BYTE $05, $04 ' 9 - Port - Right</v>
      </c>
    </row>
    <row r="12" spans="1:19" x14ac:dyDescent="0.25">
      <c r="A12">
        <v>10</v>
      </c>
      <c r="B12" s="3" t="str">
        <f t="shared" si="1"/>
        <v>0A</v>
      </c>
      <c r="C12" t="s">
        <v>15</v>
      </c>
      <c r="D12" s="2">
        <v>0</v>
      </c>
      <c r="E12" s="2">
        <v>12</v>
      </c>
      <c r="F12" s="2" t="str">
        <f t="shared" si="4"/>
        <v>03</v>
      </c>
      <c r="G12" s="2" t="str">
        <f>IF(D12,"00",VLOOKUP(E12,Sheet2!$A:$B,2))</f>
        <v>04</v>
      </c>
      <c r="H12" t="str">
        <f t="shared" si="0"/>
        <v/>
      </c>
      <c r="I12" t="str">
        <f t="shared" si="3"/>
        <v>DATA BYTE $03, $04 ' 10 - Port - Down</v>
      </c>
    </row>
    <row r="13" spans="1:19" x14ac:dyDescent="0.25">
      <c r="A13">
        <v>11</v>
      </c>
      <c r="B13" s="3" t="str">
        <f t="shared" si="1"/>
        <v>0B</v>
      </c>
      <c r="C13" t="s">
        <v>17</v>
      </c>
      <c r="D13" s="2">
        <v>1</v>
      </c>
      <c r="E13" s="2">
        <v>2</v>
      </c>
      <c r="F13" s="2" t="str">
        <f t="shared" si="4"/>
        <v>82</v>
      </c>
      <c r="G13" s="2" t="str">
        <f>IF(D13,"00",VLOOKUP(E13,Sheet2!$A:$B,2))</f>
        <v>00</v>
      </c>
      <c r="H13" t="str">
        <f t="shared" si="0"/>
        <v/>
      </c>
      <c r="I13" t="str">
        <f t="shared" si="3"/>
        <v>DATA BYTE $82, $00 ' 11 - Port - Left [*]</v>
      </c>
    </row>
    <row r="14" spans="1:19" x14ac:dyDescent="0.25">
      <c r="A14">
        <v>12</v>
      </c>
      <c r="B14" s="3" t="str">
        <f t="shared" si="1"/>
        <v>0C</v>
      </c>
      <c r="C14" t="s">
        <v>19</v>
      </c>
      <c r="D14" s="2">
        <v>1</v>
      </c>
      <c r="E14" s="2">
        <v>3</v>
      </c>
      <c r="F14" s="2" t="str">
        <f t="shared" si="4"/>
        <v>83</v>
      </c>
      <c r="G14" s="2" t="str">
        <f>IF(D14,"00",VLOOKUP(E14,Sheet2!$A:$B,2))</f>
        <v>00</v>
      </c>
      <c r="H14" t="str">
        <f t="shared" si="0"/>
        <v/>
      </c>
      <c r="I14" t="str">
        <f t="shared" si="3"/>
        <v>DATA BYTE $83, $00 ' 12 - Port - Up [*]</v>
      </c>
    </row>
    <row r="15" spans="1:19" x14ac:dyDescent="0.25">
      <c r="A15">
        <v>13</v>
      </c>
      <c r="B15" s="3" t="str">
        <f t="shared" si="1"/>
        <v>0D</v>
      </c>
      <c r="C15" t="s">
        <v>20</v>
      </c>
      <c r="D15" s="2">
        <v>0</v>
      </c>
      <c r="E15" s="2">
        <v>20</v>
      </c>
      <c r="F15" s="2" t="str">
        <f t="shared" si="4"/>
        <v>05</v>
      </c>
      <c r="G15" s="2" t="str">
        <f>IF(D15,"00",VLOOKUP(E15,Sheet2!$A:$B,2))</f>
        <v>04</v>
      </c>
      <c r="H15" t="str">
        <f t="shared" si="0"/>
        <v/>
      </c>
      <c r="I15" t="str">
        <f t="shared" si="3"/>
        <v>DATA BYTE $05, $04 ' 13 - Gravity port - Right</v>
      </c>
    </row>
    <row r="16" spans="1:19" x14ac:dyDescent="0.25">
      <c r="A16">
        <v>14</v>
      </c>
      <c r="B16" s="3" t="str">
        <f t="shared" si="1"/>
        <v>0E</v>
      </c>
      <c r="C16" t="s">
        <v>21</v>
      </c>
      <c r="D16" s="2">
        <v>0</v>
      </c>
      <c r="E16" s="2">
        <v>12</v>
      </c>
      <c r="F16" s="2" t="str">
        <f t="shared" si="4"/>
        <v>03</v>
      </c>
      <c r="G16" s="2" t="str">
        <f>IF(D16,"00",VLOOKUP(E16,Sheet2!$A:$B,2))</f>
        <v>04</v>
      </c>
      <c r="H16" t="str">
        <f t="shared" si="0"/>
        <v/>
      </c>
      <c r="I16" t="str">
        <f t="shared" si="3"/>
        <v>DATA BYTE $03, $04 ' 14 - Gravity port - Down</v>
      </c>
    </row>
    <row r="17" spans="1:9" x14ac:dyDescent="0.25">
      <c r="A17">
        <v>15</v>
      </c>
      <c r="B17" s="3" t="str">
        <f t="shared" si="1"/>
        <v>0F</v>
      </c>
      <c r="C17" t="s">
        <v>23</v>
      </c>
      <c r="D17" s="2">
        <v>1</v>
      </c>
      <c r="E17" s="2">
        <v>4</v>
      </c>
      <c r="F17" s="2" t="str">
        <f t="shared" si="4"/>
        <v>84</v>
      </c>
      <c r="G17" s="2" t="str">
        <f>IF(D17,"00",VLOOKUP(E17,Sheet2!$A:$B,2))</f>
        <v>00</v>
      </c>
      <c r="H17" t="str">
        <f t="shared" si="0"/>
        <v/>
      </c>
      <c r="I17" t="str">
        <f t="shared" si="3"/>
        <v>DATA BYTE $84, $00 ' 15 - Gravity port - Left [*]</v>
      </c>
    </row>
    <row r="18" spans="1:9" x14ac:dyDescent="0.25">
      <c r="A18">
        <v>16</v>
      </c>
      <c r="B18" s="3" t="str">
        <f t="shared" si="1"/>
        <v>10</v>
      </c>
      <c r="C18" t="s">
        <v>24</v>
      </c>
      <c r="D18" s="2">
        <v>1</v>
      </c>
      <c r="E18" s="2">
        <v>5</v>
      </c>
      <c r="F18" s="2" t="str">
        <f t="shared" si="4"/>
        <v>85</v>
      </c>
      <c r="G18" s="2" t="str">
        <f>IF(D18,"00",VLOOKUP(E18,Sheet2!$A:$B,2))</f>
        <v>00</v>
      </c>
      <c r="H18" t="str">
        <f t="shared" si="0"/>
        <v/>
      </c>
      <c r="I18" t="str">
        <f t="shared" si="3"/>
        <v>DATA BYTE $85, $00 ' 16 - Gravity port - Up [*]</v>
      </c>
    </row>
    <row r="19" spans="1:9" x14ac:dyDescent="0.25">
      <c r="A19">
        <v>17</v>
      </c>
      <c r="B19" s="3" t="str">
        <f t="shared" si="1"/>
        <v>11</v>
      </c>
      <c r="C19" t="s">
        <v>25</v>
      </c>
      <c r="D19" s="2">
        <v>0</v>
      </c>
      <c r="E19" s="2">
        <v>212</v>
      </c>
      <c r="F19" s="2" t="str">
        <f t="shared" si="4"/>
        <v>35</v>
      </c>
      <c r="G19" s="2" t="str">
        <f>IF(D19,"00",VLOOKUP(E19,Sheet2!$A:$B,2))</f>
        <v>00</v>
      </c>
      <c r="H19" t="str">
        <f t="shared" si="0"/>
        <v/>
      </c>
      <c r="I19" t="str">
        <f t="shared" si="3"/>
        <v>DATA BYTE $35, $00 ' 17 - Snik snak</v>
      </c>
    </row>
    <row r="20" spans="1:9" x14ac:dyDescent="0.25">
      <c r="A20">
        <v>18</v>
      </c>
      <c r="B20" s="3" t="str">
        <f t="shared" si="1"/>
        <v>12</v>
      </c>
      <c r="C20" t="s">
        <v>26</v>
      </c>
      <c r="D20" s="2">
        <v>1</v>
      </c>
      <c r="E20" s="2">
        <v>6</v>
      </c>
      <c r="F20" s="2" t="str">
        <f t="shared" si="4"/>
        <v>86</v>
      </c>
      <c r="G20" s="2" t="str">
        <f>IF(D20,"00",VLOOKUP(E20,Sheet2!$A:$B,2))</f>
        <v>00</v>
      </c>
      <c r="H20" t="str">
        <f t="shared" si="0"/>
        <v/>
      </c>
      <c r="I20" t="str">
        <f t="shared" si="3"/>
        <v>DATA BYTE $86, $00 ' 18 - Floppy - Yellow [*]</v>
      </c>
    </row>
    <row r="21" spans="1:9" x14ac:dyDescent="0.25">
      <c r="A21">
        <v>19</v>
      </c>
      <c r="B21" s="3" t="str">
        <f t="shared" si="1"/>
        <v>13</v>
      </c>
      <c r="C21" t="s">
        <v>27</v>
      </c>
      <c r="D21" s="2">
        <v>1</v>
      </c>
      <c r="E21" s="2">
        <v>15</v>
      </c>
      <c r="F21" s="2" t="str">
        <f t="shared" si="4"/>
        <v>8F</v>
      </c>
      <c r="G21" s="2" t="str">
        <f>IF(D21,"00",VLOOKUP(E21,Sheet2!$A:$B,2))</f>
        <v>00</v>
      </c>
      <c r="H21" t="str">
        <f t="shared" si="0"/>
        <v/>
      </c>
      <c r="I21" t="str">
        <f t="shared" si="3"/>
        <v>DATA BYTE $8F, $00 ' 19 - Terminal [*]</v>
      </c>
    </row>
    <row r="22" spans="1:9" x14ac:dyDescent="0.25">
      <c r="A22">
        <v>20</v>
      </c>
      <c r="B22" s="3" t="str">
        <f t="shared" si="1"/>
        <v>14</v>
      </c>
      <c r="C22" t="s">
        <v>28</v>
      </c>
      <c r="D22" s="2">
        <v>1</v>
      </c>
      <c r="E22" s="2">
        <v>7</v>
      </c>
      <c r="F22" s="2" t="str">
        <f t="shared" si="4"/>
        <v>87</v>
      </c>
      <c r="G22" s="2" t="str">
        <f>IF(D22,"00",VLOOKUP(E22,Sheet2!$A:$B,2))</f>
        <v>00</v>
      </c>
      <c r="H22" t="str">
        <f t="shared" si="0"/>
        <v/>
      </c>
      <c r="I22" t="str">
        <f t="shared" si="3"/>
        <v>DATA BYTE $87, $00 ' 20 - Floppy - Red [*]</v>
      </c>
    </row>
    <row r="23" spans="1:9" x14ac:dyDescent="0.25">
      <c r="A23">
        <v>21</v>
      </c>
      <c r="B23" s="3" t="str">
        <f t="shared" si="1"/>
        <v>15</v>
      </c>
      <c r="C23" t="s">
        <v>29</v>
      </c>
      <c r="D23" s="2">
        <v>1</v>
      </c>
      <c r="E23" s="2">
        <v>8</v>
      </c>
      <c r="F23" s="2" t="str">
        <f t="shared" si="4"/>
        <v>88</v>
      </c>
      <c r="G23" s="2" t="str">
        <f>IF(D23,"00",VLOOKUP(E23,Sheet2!$A:$B,2))</f>
        <v>00</v>
      </c>
      <c r="H23" t="str">
        <f t="shared" si="0"/>
        <v/>
      </c>
      <c r="I23" t="str">
        <f t="shared" si="3"/>
        <v>DATA BYTE $88, $00 ' 21 - Port - Two-way vertical [*]</v>
      </c>
    </row>
    <row r="24" spans="1:9" x14ac:dyDescent="0.25">
      <c r="A24">
        <v>22</v>
      </c>
      <c r="B24" s="3" t="str">
        <f t="shared" si="1"/>
        <v>16</v>
      </c>
      <c r="C24" t="s">
        <v>30</v>
      </c>
      <c r="D24" s="2">
        <v>1</v>
      </c>
      <c r="E24" s="2">
        <v>9</v>
      </c>
      <c r="F24" s="2" t="str">
        <f t="shared" si="4"/>
        <v>89</v>
      </c>
      <c r="G24" s="2" t="str">
        <f>IF(D24,"00",VLOOKUP(E24,Sheet2!$A:$B,2))</f>
        <v>00</v>
      </c>
      <c r="H24" t="str">
        <f t="shared" si="0"/>
        <v/>
      </c>
      <c r="I24" t="str">
        <f t="shared" si="3"/>
        <v>DATA BYTE $89, $00 ' 22 - Port - Two-way horizontal [*]</v>
      </c>
    </row>
    <row r="25" spans="1:9" x14ac:dyDescent="0.25">
      <c r="A25">
        <v>23</v>
      </c>
      <c r="B25" s="3" t="str">
        <f t="shared" si="1"/>
        <v>17</v>
      </c>
      <c r="C25" t="s">
        <v>31</v>
      </c>
      <c r="D25" s="2">
        <v>0</v>
      </c>
      <c r="E25" s="2">
        <v>16</v>
      </c>
      <c r="F25" s="2" t="str">
        <f t="shared" si="4"/>
        <v>04</v>
      </c>
      <c r="G25" s="2" t="str">
        <f>IF(D25,"00",VLOOKUP(E25,Sheet2!$A:$B,2))</f>
        <v>04</v>
      </c>
      <c r="H25" t="str">
        <f t="shared" si="0"/>
        <v/>
      </c>
      <c r="I25" t="str">
        <f t="shared" si="3"/>
        <v>DATA BYTE $04, $04 ' 23 - Port - 4-way</v>
      </c>
    </row>
    <row r="26" spans="1:9" x14ac:dyDescent="0.25">
      <c r="A26">
        <v>24</v>
      </c>
      <c r="B26" s="3" t="str">
        <f t="shared" si="1"/>
        <v>18</v>
      </c>
      <c r="C26" t="s">
        <v>32</v>
      </c>
      <c r="D26" s="2">
        <v>0</v>
      </c>
      <c r="E26" s="2">
        <v>188</v>
      </c>
      <c r="F26" s="2" t="str">
        <f t="shared" si="4"/>
        <v>2F</v>
      </c>
      <c r="G26" s="2" t="str">
        <f>IF(D26,"00",VLOOKUP(E26,Sheet2!$A:$B,2))</f>
        <v>08</v>
      </c>
      <c r="H26" t="str">
        <f t="shared" si="0"/>
        <v/>
      </c>
      <c r="I26" t="str">
        <f t="shared" si="3"/>
        <v>DATA BYTE $2F, $08 ' 24 - Electron</v>
      </c>
    </row>
    <row r="27" spans="1:9" x14ac:dyDescent="0.25">
      <c r="A27">
        <v>25</v>
      </c>
      <c r="B27" s="3" t="str">
        <f t="shared" si="1"/>
        <v>19</v>
      </c>
      <c r="C27" t="s">
        <v>33</v>
      </c>
      <c r="D27" s="2">
        <v>0</v>
      </c>
      <c r="E27" s="2">
        <v>8</v>
      </c>
      <c r="F27" s="2" t="str">
        <f t="shared" si="4"/>
        <v>02</v>
      </c>
      <c r="G27" s="2" t="str">
        <f>IF(D27,"00",VLOOKUP(E27,Sheet2!$A:$B,2))</f>
        <v>02</v>
      </c>
      <c r="H27" t="str">
        <f t="shared" si="0"/>
        <v/>
      </c>
      <c r="I27" t="str">
        <f t="shared" si="3"/>
        <v>DATA BYTE $02, $02 ' 25 - Bug</v>
      </c>
    </row>
    <row r="28" spans="1:9" x14ac:dyDescent="0.25">
      <c r="A28">
        <v>26</v>
      </c>
      <c r="B28" s="3" t="str">
        <f t="shared" si="1"/>
        <v>1A</v>
      </c>
      <c r="C28" t="s">
        <v>34</v>
      </c>
      <c r="D28" s="2">
        <v>0</v>
      </c>
      <c r="E28" s="2">
        <v>136</v>
      </c>
      <c r="F28" s="2" t="str">
        <f t="shared" si="4"/>
        <v>22</v>
      </c>
      <c r="G28" s="2" t="str">
        <f>IF(D28,"00",VLOOKUP(E28,Sheet2!$A:$B,2))</f>
        <v>04</v>
      </c>
      <c r="H28" t="str">
        <f t="shared" si="0"/>
        <v/>
      </c>
      <c r="I28" t="str">
        <f t="shared" si="3"/>
        <v>DATA BYTE $22, $04 ' 26 - RAM chip - Left</v>
      </c>
    </row>
    <row r="29" spans="1:9" x14ac:dyDescent="0.25">
      <c r="A29">
        <v>27</v>
      </c>
      <c r="B29" s="3" t="str">
        <f t="shared" si="1"/>
        <v>1B</v>
      </c>
      <c r="C29" t="s">
        <v>35</v>
      </c>
      <c r="D29" s="2">
        <v>0</v>
      </c>
      <c r="E29" s="2">
        <v>140</v>
      </c>
      <c r="F29" s="2" t="str">
        <f t="shared" si="4"/>
        <v>23</v>
      </c>
      <c r="G29" s="2" t="str">
        <f>IF(D29,"00",VLOOKUP(E29,Sheet2!$A:$B,2))</f>
        <v>04</v>
      </c>
      <c r="H29" t="str">
        <f t="shared" si="0"/>
        <v/>
      </c>
      <c r="I29" t="str">
        <f t="shared" si="3"/>
        <v>DATA BYTE $23, $04 ' 27 - RAM chip - Right</v>
      </c>
    </row>
    <row r="30" spans="1:9" x14ac:dyDescent="0.25">
      <c r="A30">
        <v>28</v>
      </c>
      <c r="B30" s="3" t="str">
        <f t="shared" si="1"/>
        <v>1C</v>
      </c>
      <c r="C30" t="s">
        <v>36</v>
      </c>
      <c r="D30" s="2">
        <v>0</v>
      </c>
      <c r="E30" s="2">
        <v>112</v>
      </c>
      <c r="F30" s="2" t="str">
        <f t="shared" si="4"/>
        <v>1C</v>
      </c>
      <c r="G30" s="2" t="str">
        <f>IF(D30,"00",VLOOKUP(E30,Sheet2!$A:$B,2))</f>
        <v>0A</v>
      </c>
      <c r="H30" t="str">
        <f t="shared" si="0"/>
        <v/>
      </c>
      <c r="I30" t="str">
        <f t="shared" si="3"/>
        <v>DATA BYTE $1C, $0A ' 28 - Hardware (decoration)</v>
      </c>
    </row>
    <row r="31" spans="1:9" x14ac:dyDescent="0.25">
      <c r="A31">
        <v>29</v>
      </c>
      <c r="B31" s="3" t="str">
        <f t="shared" si="1"/>
        <v>1D</v>
      </c>
      <c r="C31" t="s">
        <v>36</v>
      </c>
      <c r="D31" s="2">
        <v>0</v>
      </c>
      <c r="E31" s="2">
        <v>100</v>
      </c>
      <c r="F31" s="2" t="str">
        <f t="shared" si="4"/>
        <v>19</v>
      </c>
      <c r="G31" s="2" t="str">
        <f>IF(D31,"00",VLOOKUP(E31,Sheet2!$A:$B,2))</f>
        <v>02</v>
      </c>
      <c r="H31" t="str">
        <f t="shared" si="0"/>
        <v/>
      </c>
      <c r="I31" t="str">
        <f t="shared" si="3"/>
        <v>DATA BYTE $19, $02 ' 29 - Hardware (decoration)</v>
      </c>
    </row>
    <row r="32" spans="1:9" x14ac:dyDescent="0.25">
      <c r="A32">
        <v>30</v>
      </c>
      <c r="B32" s="3" t="str">
        <f t="shared" si="1"/>
        <v>1E</v>
      </c>
      <c r="C32" t="s">
        <v>36</v>
      </c>
      <c r="D32" s="2">
        <v>0</v>
      </c>
      <c r="E32" s="2">
        <v>96</v>
      </c>
      <c r="F32" s="2" t="str">
        <f t="shared" si="4"/>
        <v>18</v>
      </c>
      <c r="G32" s="2" t="str">
        <f>IF(D32,"00",VLOOKUP(E32,Sheet2!$A:$B,2))</f>
        <v>0C</v>
      </c>
      <c r="H32" t="str">
        <f t="shared" si="0"/>
        <v/>
      </c>
      <c r="I32" t="str">
        <f t="shared" si="3"/>
        <v>DATA BYTE $18, $0C ' 30 - Hardware (decoration)</v>
      </c>
    </row>
    <row r="33" spans="1:9" x14ac:dyDescent="0.25">
      <c r="A33">
        <v>31</v>
      </c>
      <c r="B33" s="3" t="str">
        <f t="shared" si="1"/>
        <v>1F</v>
      </c>
      <c r="C33" t="s">
        <v>36</v>
      </c>
      <c r="D33" s="2">
        <v>1</v>
      </c>
      <c r="E33" s="2">
        <v>10</v>
      </c>
      <c r="F33" s="2" t="str">
        <f t="shared" si="4"/>
        <v>8A</v>
      </c>
      <c r="G33" s="2" t="str">
        <f>IF(D33,"00",VLOOKUP(E33,Sheet2!$A:$B,2))</f>
        <v>00</v>
      </c>
      <c r="H33" t="str">
        <f t="shared" si="0"/>
        <v/>
      </c>
      <c r="I33" t="str">
        <f t="shared" si="3"/>
        <v>DATA BYTE $8A, $00 ' 31 - Hardware (decoration) [*]</v>
      </c>
    </row>
    <row r="34" spans="1:9" x14ac:dyDescent="0.25">
      <c r="A34">
        <v>32</v>
      </c>
      <c r="B34" s="3" t="str">
        <f t="shared" si="1"/>
        <v>20</v>
      </c>
      <c r="C34" t="s">
        <v>36</v>
      </c>
      <c r="D34" s="2">
        <v>0</v>
      </c>
      <c r="E34" s="2">
        <v>120</v>
      </c>
      <c r="F34" s="2" t="str">
        <f t="shared" si="4"/>
        <v>1E</v>
      </c>
      <c r="G34" s="2" t="str">
        <f>IF(D34,"00",VLOOKUP(E34,Sheet2!$A:$B,2))</f>
        <v>04</v>
      </c>
      <c r="H34" t="str">
        <f t="shared" si="0"/>
        <v/>
      </c>
      <c r="I34" t="str">
        <f t="shared" si="3"/>
        <v>DATA BYTE $1E, $04 ' 32 - Hardware (decoration)</v>
      </c>
    </row>
    <row r="35" spans="1:9" x14ac:dyDescent="0.25">
      <c r="A35">
        <v>33</v>
      </c>
      <c r="B35" s="3" t="str">
        <f t="shared" si="1"/>
        <v>21</v>
      </c>
      <c r="C35" t="s">
        <v>36</v>
      </c>
      <c r="D35" s="2">
        <v>1</v>
      </c>
      <c r="E35" s="2">
        <v>14</v>
      </c>
      <c r="F35" s="2" t="str">
        <f t="shared" si="4"/>
        <v>8E</v>
      </c>
      <c r="G35" s="2" t="str">
        <f>IF(D35,"00",VLOOKUP(E35,Sheet2!$A:$B,2))</f>
        <v>00</v>
      </c>
      <c r="H35" t="str">
        <f t="shared" si="0"/>
        <v/>
      </c>
      <c r="I35" t="str">
        <f t="shared" si="3"/>
        <v>DATA BYTE $8E, $00 ' 33 - Hardware (decoration) [*]</v>
      </c>
    </row>
    <row r="36" spans="1:9" x14ac:dyDescent="0.25">
      <c r="A36">
        <v>34</v>
      </c>
      <c r="B36" s="3" t="str">
        <f t="shared" si="1"/>
        <v>22</v>
      </c>
      <c r="C36" t="s">
        <v>36</v>
      </c>
      <c r="D36" s="2">
        <v>0</v>
      </c>
      <c r="E36" s="2">
        <v>148</v>
      </c>
      <c r="F36" s="2" t="str">
        <f t="shared" si="4"/>
        <v>25</v>
      </c>
      <c r="G36" s="2" t="str">
        <f>IF(D36,"00",VLOOKUP(E36,Sheet2!$A:$B,2))</f>
        <v>0A</v>
      </c>
      <c r="H36" t="str">
        <f t="shared" si="0"/>
        <v/>
      </c>
      <c r="I36" t="str">
        <f t="shared" si="3"/>
        <v>DATA BYTE $25, $0A ' 34 - Hardware (decoration)</v>
      </c>
    </row>
    <row r="37" spans="1:9" x14ac:dyDescent="0.25">
      <c r="A37">
        <v>35</v>
      </c>
      <c r="B37" s="3" t="str">
        <f t="shared" si="1"/>
        <v>23</v>
      </c>
      <c r="C37" t="s">
        <v>36</v>
      </c>
      <c r="D37" s="2">
        <v>0</v>
      </c>
      <c r="E37" s="2">
        <v>152</v>
      </c>
      <c r="F37" s="2" t="str">
        <f t="shared" si="4"/>
        <v>26</v>
      </c>
      <c r="G37" s="2" t="str">
        <f>IF(D37,"00",VLOOKUP(E37,Sheet2!$A:$B,2))</f>
        <v>0A</v>
      </c>
      <c r="H37" t="str">
        <f t="shared" si="0"/>
        <v/>
      </c>
      <c r="I37" t="str">
        <f t="shared" si="3"/>
        <v>DATA BYTE $26, $0A ' 35 - Hardware (decoration)</v>
      </c>
    </row>
    <row r="38" spans="1:9" x14ac:dyDescent="0.25">
      <c r="A38">
        <v>36</v>
      </c>
      <c r="B38" s="3" t="str">
        <f t="shared" si="1"/>
        <v>24</v>
      </c>
      <c r="C38" t="s">
        <v>36</v>
      </c>
      <c r="D38" s="2">
        <v>0</v>
      </c>
      <c r="E38" s="2">
        <v>108</v>
      </c>
      <c r="F38" s="2" t="str">
        <f t="shared" si="4"/>
        <v>1B</v>
      </c>
      <c r="G38" s="2" t="str">
        <f>IF(D38,"00",VLOOKUP(E38,Sheet2!$A:$B,2))</f>
        <v>0A</v>
      </c>
      <c r="H38" t="str">
        <f t="shared" si="0"/>
        <v/>
      </c>
      <c r="I38" t="str">
        <f t="shared" si="3"/>
        <v>DATA BYTE $1B, $0A ' 36 - Hardware (decoration)</v>
      </c>
    </row>
    <row r="39" spans="1:9" x14ac:dyDescent="0.25">
      <c r="A39">
        <v>37</v>
      </c>
      <c r="B39" s="3" t="str">
        <f t="shared" si="1"/>
        <v>25</v>
      </c>
      <c r="C39" t="s">
        <v>36</v>
      </c>
      <c r="D39" s="2">
        <v>0</v>
      </c>
      <c r="E39" s="2">
        <v>156</v>
      </c>
      <c r="F39" s="2" t="str">
        <f t="shared" si="4"/>
        <v>27</v>
      </c>
      <c r="G39" s="2" t="str">
        <f>IF(D39,"00",VLOOKUP(E39,Sheet2!$A:$B,2))</f>
        <v>0A</v>
      </c>
      <c r="H39" t="str">
        <f t="shared" si="0"/>
        <v/>
      </c>
      <c r="I39" t="str">
        <f t="shared" si="3"/>
        <v>DATA BYTE $27, $0A ' 37 - Hardware (decoration)</v>
      </c>
    </row>
    <row r="40" spans="1:9" x14ac:dyDescent="0.25">
      <c r="A40">
        <v>38</v>
      </c>
      <c r="B40" s="3" t="str">
        <f t="shared" si="1"/>
        <v>26</v>
      </c>
      <c r="C40" t="s">
        <v>39</v>
      </c>
      <c r="D40" s="2">
        <v>0</v>
      </c>
      <c r="E40" s="2">
        <v>128</v>
      </c>
      <c r="F40" s="2" t="str">
        <f t="shared" si="4"/>
        <v>20</v>
      </c>
      <c r="G40" s="2" t="str">
        <f>IF(D40,"00",VLOOKUP(E40,Sheet2!$A:$B,2))</f>
        <v>04</v>
      </c>
      <c r="H40" t="str">
        <f t="shared" si="0"/>
        <v/>
      </c>
      <c r="I40" t="str">
        <f t="shared" si="3"/>
        <v>DATA BYTE $20, $04 ' 38 - RAM chip - Top</v>
      </c>
    </row>
    <row r="41" spans="1:9" x14ac:dyDescent="0.25">
      <c r="A41">
        <v>39</v>
      </c>
      <c r="B41" s="3" t="str">
        <f t="shared" si="1"/>
        <v>27</v>
      </c>
      <c r="C41" t="s">
        <v>40</v>
      </c>
      <c r="D41" s="2">
        <v>0</v>
      </c>
      <c r="E41" s="2">
        <v>132</v>
      </c>
      <c r="F41" s="2" t="str">
        <f t="shared" si="4"/>
        <v>21</v>
      </c>
      <c r="G41" s="2" t="str">
        <f>IF(D41,"00",VLOOKUP(E41,Sheet2!$A:$B,2))</f>
        <v>04</v>
      </c>
      <c r="H41" t="str">
        <f t="shared" si="0"/>
        <v/>
      </c>
      <c r="I41" t="str">
        <f t="shared" si="3"/>
        <v>DATA BYTE $21, $04 ' 39 - RAM chip - Bottom</v>
      </c>
    </row>
    <row r="42" spans="1:9" x14ac:dyDescent="0.25">
      <c r="A42">
        <v>40</v>
      </c>
      <c r="B42" s="3" t="str">
        <f t="shared" si="1"/>
        <v>28</v>
      </c>
      <c r="C42" t="s">
        <v>52</v>
      </c>
      <c r="D42" s="2">
        <v>0</v>
      </c>
      <c r="E42" s="2">
        <v>4</v>
      </c>
      <c r="F42" s="2" t="str">
        <f t="shared" si="4"/>
        <v>01</v>
      </c>
      <c r="G42" s="2" t="str">
        <f>IF(D42,"00",VLOOKUP(E42,Sheet2!$A:$B,2))</f>
        <v>04</v>
      </c>
      <c r="I42" t="str">
        <f t="shared" si="3"/>
        <v>DATA BYTE $01, $04 ' 40 - Border - Corner</v>
      </c>
    </row>
    <row r="43" spans="1:9" x14ac:dyDescent="0.25">
      <c r="A43">
        <v>41</v>
      </c>
      <c r="B43" s="3" t="str">
        <f t="shared" si="1"/>
        <v>29</v>
      </c>
      <c r="C43" t="s">
        <v>53</v>
      </c>
      <c r="D43" s="2">
        <v>1</v>
      </c>
      <c r="E43" s="2">
        <v>11</v>
      </c>
      <c r="F43" s="2" t="str">
        <f t="shared" si="4"/>
        <v>8B</v>
      </c>
      <c r="G43" s="2" t="str">
        <f>IF(D43,"00",VLOOKUP(E43,Sheet2!$A:$B,2))</f>
        <v>00</v>
      </c>
      <c r="I43" t="str">
        <f t="shared" si="3"/>
        <v>DATA BYTE $8B, $00 ' 41 - Border - Horizontal [*]</v>
      </c>
    </row>
    <row r="44" spans="1:9" x14ac:dyDescent="0.25">
      <c r="A44">
        <v>42</v>
      </c>
      <c r="B44" s="3" t="str">
        <f t="shared" si="1"/>
        <v>2A</v>
      </c>
      <c r="C44" t="s">
        <v>54</v>
      </c>
      <c r="D44" s="2">
        <v>1</v>
      </c>
      <c r="E44" s="2">
        <v>12</v>
      </c>
      <c r="F44" s="2" t="str">
        <f t="shared" si="4"/>
        <v>8C</v>
      </c>
      <c r="G44" s="2" t="str">
        <f>IF(D44,"00",VLOOKUP(E44,Sheet2!$A:$B,2))</f>
        <v>00</v>
      </c>
      <c r="I44" t="str">
        <f t="shared" si="3"/>
        <v>DATA BYTE $8C, $00 ' 42 - Border - Vertical [*]</v>
      </c>
    </row>
    <row r="45" spans="1:9" x14ac:dyDescent="0.25">
      <c r="A45">
        <v>43</v>
      </c>
      <c r="B45" s="3" t="str">
        <f t="shared" si="1"/>
        <v>2B</v>
      </c>
      <c r="C45" t="s">
        <v>76</v>
      </c>
      <c r="D45" s="2">
        <v>0</v>
      </c>
      <c r="E45" s="2">
        <v>212</v>
      </c>
      <c r="F45" s="2" t="str">
        <f t="shared" ref="F45" si="5">TEXT(DEC2HEX(IF(D45,128 + E45, E45/4)),"00")</f>
        <v>35</v>
      </c>
      <c r="G45" s="2" t="str">
        <f>IF(D45,"00",VLOOKUP(E45,Sheet2!$A:$B,2))</f>
        <v>00</v>
      </c>
      <c r="H45" t="str">
        <f>IF(D45,"",IF(_xlfn.BITAND(E45,3),"Error",""))</f>
        <v/>
      </c>
      <c r="I45" t="str">
        <f>"DATA BYTE $"&amp;F45&amp;", $"&amp; G45&amp;" ' "&amp;A45&amp;" - "&amp;C45&amp;IF(D45," [*]","")</f>
        <v>DATA BYTE $35, $00 ' 43 - Snik snak - U (Dup)</v>
      </c>
    </row>
    <row r="46" spans="1:9" x14ac:dyDescent="0.25">
      <c r="A46">
        <v>44</v>
      </c>
      <c r="B46" s="3" t="str">
        <f t="shared" si="1"/>
        <v>2C</v>
      </c>
      <c r="C46" t="s">
        <v>64</v>
      </c>
      <c r="D46" s="2">
        <v>0</v>
      </c>
      <c r="E46" s="2">
        <v>216</v>
      </c>
      <c r="F46" s="2" t="str">
        <f t="shared" ref="F46:F52" si="6">TEXT(DEC2HEX(IF(D46,128 + E46, E46/4)),"00")</f>
        <v>36</v>
      </c>
      <c r="G46" s="2" t="str">
        <f>IF(D46,"00",VLOOKUP(E46,Sheet2!$A:$B,2))</f>
        <v>00</v>
      </c>
      <c r="I46" t="str">
        <f t="shared" ref="I46:I52" si="7">"DATA BYTE $"&amp;F46&amp;", $"&amp; G46&amp;" ' "&amp;A46&amp;" - "&amp;C46&amp;IF(D46," [*]","")</f>
        <v>DATA BYTE $36, $00 ' 44 - Snik Snak - UL</v>
      </c>
    </row>
    <row r="47" spans="1:9" x14ac:dyDescent="0.25">
      <c r="A47">
        <v>45</v>
      </c>
      <c r="B47" s="3" t="str">
        <f t="shared" si="1"/>
        <v>2D</v>
      </c>
      <c r="C47" t="s">
        <v>65</v>
      </c>
      <c r="D47" s="2">
        <v>0</v>
      </c>
      <c r="E47" s="2">
        <v>208</v>
      </c>
      <c r="F47" s="2" t="str">
        <f t="shared" si="6"/>
        <v>34</v>
      </c>
      <c r="G47" s="2" t="str">
        <f>IF(D47,"00",VLOOKUP(E47,Sheet2!$A:$B,2))</f>
        <v>00</v>
      </c>
      <c r="I47" t="str">
        <f t="shared" si="7"/>
        <v>DATA BYTE $34, $00 ' 45 - Snik Snak - L</v>
      </c>
    </row>
    <row r="48" spans="1:9" x14ac:dyDescent="0.25">
      <c r="A48">
        <v>46</v>
      </c>
      <c r="B48" s="3" t="str">
        <f t="shared" si="1"/>
        <v>2E</v>
      </c>
      <c r="C48" t="s">
        <v>66</v>
      </c>
      <c r="D48" s="2">
        <v>1</v>
      </c>
      <c r="E48" s="2">
        <v>16</v>
      </c>
      <c r="F48" s="2" t="str">
        <f t="shared" si="6"/>
        <v>90</v>
      </c>
      <c r="G48" s="2" t="str">
        <f>IF(D48,"00",VLOOKUP(E48,Sheet2!$A:$B,2))</f>
        <v>00</v>
      </c>
      <c r="I48" t="str">
        <f t="shared" si="7"/>
        <v>DATA BYTE $90, $00 ' 46 - Snik Snak - DL [*]</v>
      </c>
    </row>
    <row r="49" spans="1:9" x14ac:dyDescent="0.25">
      <c r="A49">
        <v>47</v>
      </c>
      <c r="B49" s="3" t="str">
        <f t="shared" si="1"/>
        <v>2F</v>
      </c>
      <c r="C49" t="s">
        <v>67</v>
      </c>
      <c r="D49" s="2">
        <v>1</v>
      </c>
      <c r="E49" s="2">
        <v>17</v>
      </c>
      <c r="F49" s="2" t="str">
        <f t="shared" si="6"/>
        <v>91</v>
      </c>
      <c r="G49" s="2" t="str">
        <f>IF(D49,"00",VLOOKUP(E49,Sheet2!$A:$B,2))</f>
        <v>00</v>
      </c>
      <c r="I49" t="str">
        <f t="shared" si="7"/>
        <v>DATA BYTE $91, $00 ' 47 - Snik Snak - D [*]</v>
      </c>
    </row>
    <row r="50" spans="1:9" x14ac:dyDescent="0.25">
      <c r="A50">
        <v>48</v>
      </c>
      <c r="B50" s="3" t="str">
        <f t="shared" si="1"/>
        <v>30</v>
      </c>
      <c r="C50" t="s">
        <v>68</v>
      </c>
      <c r="D50" s="2">
        <v>1</v>
      </c>
      <c r="E50" s="2">
        <v>18</v>
      </c>
      <c r="F50" s="2" t="str">
        <f t="shared" si="6"/>
        <v>92</v>
      </c>
      <c r="G50" s="2" t="str">
        <f>IF(D50,"00",VLOOKUP(E50,Sheet2!$A:$B,2))</f>
        <v>00</v>
      </c>
      <c r="I50" t="str">
        <f t="shared" si="7"/>
        <v>DATA BYTE $92, $00 ' 48 - Snik Snak - DR [*]</v>
      </c>
    </row>
    <row r="51" spans="1:9" x14ac:dyDescent="0.25">
      <c r="A51">
        <v>49</v>
      </c>
      <c r="B51" s="3" t="str">
        <f t="shared" si="1"/>
        <v>31</v>
      </c>
      <c r="C51" t="s">
        <v>69</v>
      </c>
      <c r="D51" s="2">
        <v>1</v>
      </c>
      <c r="E51" s="2">
        <v>19</v>
      </c>
      <c r="F51" s="2" t="str">
        <f t="shared" si="6"/>
        <v>93</v>
      </c>
      <c r="G51" s="2" t="str">
        <f>IF(D51,"00",VLOOKUP(E51,Sheet2!$A:$B,2))</f>
        <v>00</v>
      </c>
      <c r="I51" t="str">
        <f t="shared" si="7"/>
        <v>DATA BYTE $93, $00 ' 49 - Snik Snak - R [*]</v>
      </c>
    </row>
    <row r="52" spans="1:9" x14ac:dyDescent="0.25">
      <c r="A52">
        <v>50</v>
      </c>
      <c r="B52" s="3" t="str">
        <f t="shared" si="1"/>
        <v>32</v>
      </c>
      <c r="C52" t="s">
        <v>70</v>
      </c>
      <c r="D52" s="2">
        <v>1</v>
      </c>
      <c r="E52" s="2">
        <v>20</v>
      </c>
      <c r="F52" s="2" t="str">
        <f t="shared" si="6"/>
        <v>94</v>
      </c>
      <c r="G52" s="2" t="str">
        <f>IF(D52,"00",VLOOKUP(E52,Sheet2!$A:$B,2))</f>
        <v>00</v>
      </c>
      <c r="I52" t="str">
        <f t="shared" si="7"/>
        <v>DATA BYTE $94, $00 ' 50 - Snik Snak - UR [*]</v>
      </c>
    </row>
    <row r="53" spans="1:9" x14ac:dyDescent="0.25">
      <c r="A53">
        <v>51</v>
      </c>
      <c r="B53" s="3" t="str">
        <f t="shared" ref="B53:B67" si="8">RIGHT("0"&amp;DEC2HEX(A53),2)</f>
        <v>33</v>
      </c>
      <c r="C53" t="s">
        <v>77</v>
      </c>
      <c r="D53" s="2">
        <v>0</v>
      </c>
      <c r="E53" s="2">
        <v>196</v>
      </c>
      <c r="F53" s="2" t="str">
        <f t="shared" ref="F53:F64" si="9">TEXT(DEC2HEX(IF(D53,128 + E53, E53/4)),"00")</f>
        <v>31</v>
      </c>
      <c r="G53" s="2" t="str">
        <f>IF(D53,"00",VLOOKUP(E53,Sheet2!$A:$B,2))</f>
        <v>04</v>
      </c>
      <c r="I53" t="str">
        <f t="shared" ref="I53:I57" si="10">"DATA BYTE $"&amp;F53&amp;", $"&amp; G53&amp;" ' "&amp;A53&amp;" - "&amp;C53&amp;IF(D53," [*]","")</f>
        <v>DATA BYTE $31, $04 ' 51 - Zonk - H</v>
      </c>
    </row>
    <row r="54" spans="1:9" x14ac:dyDescent="0.25">
      <c r="A54">
        <v>52</v>
      </c>
      <c r="B54" s="3" t="str">
        <f t="shared" si="8"/>
        <v>34</v>
      </c>
      <c r="C54" t="s">
        <v>78</v>
      </c>
      <c r="D54" s="2">
        <v>1</v>
      </c>
      <c r="E54" s="2">
        <v>21</v>
      </c>
      <c r="F54" s="2" t="str">
        <f t="shared" si="9"/>
        <v>95</v>
      </c>
      <c r="G54" s="2" t="str">
        <f>IF(D54,"00",VLOOKUP(E54,Sheet2!$A:$B,2))</f>
        <v>00</v>
      </c>
      <c r="I54" t="str">
        <f t="shared" si="10"/>
        <v>DATA BYTE $95, $00 ' 52 - Zonk - HL [*]</v>
      </c>
    </row>
    <row r="55" spans="1:9" x14ac:dyDescent="0.25">
      <c r="A55">
        <v>53</v>
      </c>
      <c r="B55" s="3" t="str">
        <f t="shared" si="8"/>
        <v>35</v>
      </c>
      <c r="C55" t="s">
        <v>79</v>
      </c>
      <c r="D55" s="2">
        <v>0</v>
      </c>
      <c r="E55" s="2">
        <v>204</v>
      </c>
      <c r="F55" s="2" t="str">
        <f t="shared" si="9"/>
        <v>33</v>
      </c>
      <c r="G55" s="2" t="str">
        <f>IF(D55,"00",VLOOKUP(E55,Sheet2!$A:$B,2))</f>
        <v>04</v>
      </c>
      <c r="I55" t="str">
        <f t="shared" si="10"/>
        <v>DATA BYTE $33, $04 ' 53 - Zonk - V</v>
      </c>
    </row>
    <row r="56" spans="1:9" x14ac:dyDescent="0.25">
      <c r="A56">
        <v>54</v>
      </c>
      <c r="B56" s="3" t="str">
        <f t="shared" si="8"/>
        <v>36</v>
      </c>
      <c r="C56" t="s">
        <v>80</v>
      </c>
      <c r="D56" s="2">
        <v>0</v>
      </c>
      <c r="E56" s="2">
        <v>200</v>
      </c>
      <c r="F56" s="2" t="str">
        <f t="shared" si="9"/>
        <v>32</v>
      </c>
      <c r="G56" s="2" t="str">
        <f>IF(D56,"00",VLOOKUP(E56,Sheet2!$A:$B,2))</f>
        <v>04</v>
      </c>
      <c r="I56" t="str">
        <f t="shared" si="10"/>
        <v>DATA BYTE $32, $04 ' 54 - Zonk - VL</v>
      </c>
    </row>
    <row r="57" spans="1:9" x14ac:dyDescent="0.25">
      <c r="A57">
        <v>55</v>
      </c>
      <c r="B57" s="3" t="str">
        <f t="shared" si="8"/>
        <v>37</v>
      </c>
      <c r="C57" t="s">
        <v>7</v>
      </c>
      <c r="D57" s="2">
        <v>1</v>
      </c>
      <c r="E57" s="2">
        <v>22</v>
      </c>
      <c r="F57" s="2" t="str">
        <f t="shared" si="9"/>
        <v>96</v>
      </c>
      <c r="G57" s="2" t="str">
        <f>IF(D57,"00",VLOOKUP(E57,Sheet2!$A:$B,2))</f>
        <v>00</v>
      </c>
      <c r="H57" t="str">
        <f t="shared" ref="H57" si="11">IF(D57,"",IF(_xlfn.BITAND(E57,3),"Error",""))</f>
        <v/>
      </c>
      <c r="I57" t="str">
        <f t="shared" si="10"/>
        <v>DATA BYTE $96, $00 ' 55 - Murphy [*]</v>
      </c>
    </row>
    <row r="58" spans="1:9" x14ac:dyDescent="0.25">
      <c r="A58">
        <v>56</v>
      </c>
      <c r="B58" s="3" t="str">
        <f t="shared" si="8"/>
        <v>38</v>
      </c>
      <c r="C58" t="s">
        <v>108</v>
      </c>
      <c r="D58" s="2">
        <v>0</v>
      </c>
      <c r="E58" s="2">
        <v>32</v>
      </c>
      <c r="F58" s="2" t="str">
        <f t="shared" si="9"/>
        <v>08</v>
      </c>
      <c r="G58" s="7" t="s">
        <v>61</v>
      </c>
      <c r="H58" t="str">
        <f t="shared" ref="H58:H64" si="12">IF(D58,"",IF(_xlfn.BITAND(E58,3),"Error",""))</f>
        <v/>
      </c>
      <c r="I58" t="str">
        <f t="shared" ref="I58:I64" si="13">"DATA BYTE $"&amp;F58&amp;", $"&amp; G58&amp;" ' "&amp;A58&amp;" - "&amp;C58&amp;IF(D58," [*]","")</f>
        <v>DATA BYTE $08, $04 ' 56 - Explode 0</v>
      </c>
    </row>
    <row r="59" spans="1:9" x14ac:dyDescent="0.25">
      <c r="A59">
        <v>57</v>
      </c>
      <c r="B59" s="3" t="str">
        <f t="shared" si="8"/>
        <v>39</v>
      </c>
      <c r="C59" t="s">
        <v>109</v>
      </c>
      <c r="D59" s="2">
        <v>0</v>
      </c>
      <c r="E59" s="2">
        <v>36</v>
      </c>
      <c r="F59" s="2" t="str">
        <f t="shared" si="9"/>
        <v>09</v>
      </c>
      <c r="G59" s="7" t="s">
        <v>61</v>
      </c>
      <c r="H59" t="str">
        <f t="shared" si="12"/>
        <v/>
      </c>
      <c r="I59" t="str">
        <f t="shared" si="13"/>
        <v>DATA BYTE $09, $04 ' 57 - Explode 1</v>
      </c>
    </row>
    <row r="60" spans="1:9" x14ac:dyDescent="0.25">
      <c r="A60">
        <v>58</v>
      </c>
      <c r="B60" s="3" t="str">
        <f t="shared" si="8"/>
        <v>3A</v>
      </c>
      <c r="C60" t="s">
        <v>110</v>
      </c>
      <c r="D60" s="2">
        <v>0</v>
      </c>
      <c r="E60" s="2">
        <v>40</v>
      </c>
      <c r="F60" s="2" t="str">
        <f>RIGHT("0"&amp;DEC2HEX(IF(D60,128 + E60, E60/4)),2)</f>
        <v>0A</v>
      </c>
      <c r="G60" s="7" t="s">
        <v>61</v>
      </c>
      <c r="H60" t="str">
        <f t="shared" si="12"/>
        <v/>
      </c>
      <c r="I60" t="str">
        <f t="shared" si="13"/>
        <v>DATA BYTE $0A, $04 ' 58 - Explode 2</v>
      </c>
    </row>
    <row r="61" spans="1:9" x14ac:dyDescent="0.25">
      <c r="A61">
        <v>59</v>
      </c>
      <c r="B61" s="3" t="str">
        <f t="shared" si="8"/>
        <v>3B</v>
      </c>
      <c r="C61" t="s">
        <v>111</v>
      </c>
      <c r="D61" s="2">
        <v>0</v>
      </c>
      <c r="E61" s="2">
        <v>44</v>
      </c>
      <c r="F61" s="2" t="str">
        <f t="shared" ref="F61:F64" si="14">RIGHT("0"&amp;DEC2HEX(IF(D61,128 + E61, E61/4)),2)</f>
        <v>0B</v>
      </c>
      <c r="G61" s="7" t="s">
        <v>61</v>
      </c>
      <c r="H61" t="str">
        <f t="shared" si="12"/>
        <v/>
      </c>
      <c r="I61" t="str">
        <f t="shared" si="13"/>
        <v>DATA BYTE $0B, $04 ' 59 - Explode 3</v>
      </c>
    </row>
    <row r="62" spans="1:9" x14ac:dyDescent="0.25">
      <c r="A62">
        <v>60</v>
      </c>
      <c r="B62" s="3" t="str">
        <f t="shared" si="8"/>
        <v>3C</v>
      </c>
      <c r="C62" t="s">
        <v>112</v>
      </c>
      <c r="D62" s="2">
        <v>0</v>
      </c>
      <c r="E62" s="2">
        <v>48</v>
      </c>
      <c r="F62" s="2" t="str">
        <f t="shared" si="14"/>
        <v>0C</v>
      </c>
      <c r="G62" s="7" t="s">
        <v>61</v>
      </c>
      <c r="H62" t="str">
        <f t="shared" si="12"/>
        <v/>
      </c>
      <c r="I62" t="str">
        <f t="shared" si="13"/>
        <v>DATA BYTE $0C, $04 ' 60 - Explode 4</v>
      </c>
    </row>
    <row r="63" spans="1:9" x14ac:dyDescent="0.25">
      <c r="A63">
        <v>61</v>
      </c>
      <c r="B63" s="3" t="str">
        <f t="shared" si="8"/>
        <v>3D</v>
      </c>
      <c r="C63" t="s">
        <v>113</v>
      </c>
      <c r="D63" s="2">
        <v>0</v>
      </c>
      <c r="E63" s="2">
        <v>52</v>
      </c>
      <c r="F63" s="2" t="str">
        <f t="shared" si="14"/>
        <v>0D</v>
      </c>
      <c r="G63" s="7" t="s">
        <v>61</v>
      </c>
      <c r="H63" t="str">
        <f t="shared" si="12"/>
        <v/>
      </c>
      <c r="I63" t="str">
        <f t="shared" si="13"/>
        <v>DATA BYTE $0D, $04 ' 61 - Explode 5</v>
      </c>
    </row>
    <row r="64" spans="1:9" x14ac:dyDescent="0.25">
      <c r="A64">
        <v>62</v>
      </c>
      <c r="B64" s="3" t="str">
        <f t="shared" si="8"/>
        <v>3E</v>
      </c>
      <c r="C64" t="s">
        <v>114</v>
      </c>
      <c r="D64" s="2">
        <v>0</v>
      </c>
      <c r="E64" s="2">
        <v>56</v>
      </c>
      <c r="F64" s="2" t="str">
        <f t="shared" si="14"/>
        <v>0E</v>
      </c>
      <c r="G64" s="7" t="s">
        <v>61</v>
      </c>
      <c r="H64" t="str">
        <f t="shared" si="12"/>
        <v/>
      </c>
      <c r="I64" t="str">
        <f t="shared" si="13"/>
        <v>DATA BYTE $0E, $04 ' 62 - Explode 6</v>
      </c>
    </row>
    <row r="65" spans="1:18" x14ac:dyDescent="0.25">
      <c r="A65">
        <v>63</v>
      </c>
      <c r="B65" s="3" t="str">
        <f t="shared" si="8"/>
        <v>3F</v>
      </c>
    </row>
    <row r="66" spans="1:18" x14ac:dyDescent="0.25">
      <c r="A66">
        <v>64</v>
      </c>
      <c r="B66" s="3" t="str">
        <f t="shared" si="8"/>
        <v>40</v>
      </c>
    </row>
    <row r="67" spans="1:18" x14ac:dyDescent="0.25">
      <c r="A67">
        <v>65</v>
      </c>
      <c r="B67" s="3" t="str">
        <f t="shared" si="8"/>
        <v>41</v>
      </c>
    </row>
    <row r="68" spans="1:18" x14ac:dyDescent="0.25">
      <c r="H68" t="str">
        <f>IF(D68,"",IF(_xlfn.BITAND(E68,3),"Error",""))</f>
        <v/>
      </c>
    </row>
    <row r="69" spans="1:18" s="4" customFormat="1" x14ac:dyDescent="0.25">
      <c r="A69" s="4" t="s">
        <v>51</v>
      </c>
      <c r="B69" s="5" t="s">
        <v>43</v>
      </c>
      <c r="C69" s="5"/>
      <c r="D69" s="5"/>
      <c r="E69" s="5" t="s">
        <v>44</v>
      </c>
      <c r="F69" s="5" t="s">
        <v>47</v>
      </c>
      <c r="G69" s="5" t="s">
        <v>57</v>
      </c>
      <c r="H69" s="5" t="s">
        <v>55</v>
      </c>
      <c r="I69" s="5" t="s">
        <v>48</v>
      </c>
      <c r="J69" s="5" t="s">
        <v>58</v>
      </c>
      <c r="K69" s="5" t="s">
        <v>45</v>
      </c>
      <c r="L69" s="5" t="s">
        <v>49</v>
      </c>
      <c r="M69" s="5" t="s">
        <v>59</v>
      </c>
      <c r="N69" s="5" t="s">
        <v>46</v>
      </c>
      <c r="O69" s="5" t="s">
        <v>50</v>
      </c>
      <c r="P69" s="5" t="s">
        <v>60</v>
      </c>
    </row>
    <row r="70" spans="1:18" s="4" customFormat="1" x14ac:dyDescent="0.25">
      <c r="A70">
        <v>0</v>
      </c>
      <c r="B70" s="5"/>
      <c r="C70" s="2" t="s">
        <v>62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R70" t="str">
        <f>"DATA BYTE $"&amp;RIGHT("0"&amp;DEC2HEX(E70),2)&amp;", $"&amp;RIGHT("0"&amp;DEC2HEX(K70),2)&amp;", $"&amp;RIGHT("0"&amp;DEC2HEX(H70),2)&amp;", $"&amp;RIGHT("0"&amp;DEC2HEX(N70),2)&amp;", $"&amp;RIGHT("0"&amp;DEC2HEX(HEX2DEC(G70)+IF(ISNUMBER(SEARCH("H",F70)),64,0)+IF(ISNUMBER(SEARCH("V",F70)),32,0)),2)&amp;", $"&amp;RIGHT("0"&amp;DEC2HEX(HEX2DEC(M70)+IF(ISNUMBER(SEARCH("H",L70)),64,0)+IF(ISNUMBER(SEARCH("V",L70)),32,0)),2)&amp;", $"&amp;RIGHT("0"&amp;DEC2HEX(HEX2DEC(J70)+IF(ISNUMBER(SEARCH("H",I70)),64,0)+IF(ISNUMBER(SEARCH("V",I70)),32,0)),2)&amp;", $"&amp;RIGHT("0"&amp;DEC2HEX(HEX2DEC(P70)+IF(ISNUMBER(SEARCH("H",O70)),64,0)+IF(ISNUMBER(SEARCH("V",O70)),32,0)),2)&amp;" ' "&amp;B70&amp;" - "&amp;C70</f>
        <v>DATA BYTE $00, $00, $00, $00, $00, $00, $00, $00 '  - DYNAMIC BUFFER</v>
      </c>
    </row>
    <row r="71" spans="1:18" s="4" customFormat="1" x14ac:dyDescent="0.25">
      <c r="A71">
        <v>1</v>
      </c>
      <c r="B71" s="5">
        <v>0</v>
      </c>
      <c r="C71" t="s">
        <v>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R71" t="str">
        <f t="shared" ref="R71:R90" si="15">"DATA BYTE $"&amp;RIGHT("0"&amp;DEC2HEX(E71),2)&amp;", $"&amp;RIGHT("0"&amp;DEC2HEX(K71),2)&amp;", $"&amp;RIGHT("0"&amp;DEC2HEX(H71),2)&amp;", $"&amp;RIGHT("0"&amp;DEC2HEX(N71),2)&amp;", $"&amp;RIGHT("0"&amp;DEC2HEX(HEX2DEC(G71)+IF(ISNUMBER(SEARCH("H",F71)),64,0)+IF(ISNUMBER(SEARCH("V",F71)),32,0)),2)&amp;", $"&amp;RIGHT("0"&amp;DEC2HEX(HEX2DEC(M71)+IF(ISNUMBER(SEARCH("H",L71)),64,0)+IF(ISNUMBER(SEARCH("V",L71)),32,0)),2)&amp;", $"&amp;RIGHT("0"&amp;DEC2HEX(HEX2DEC(J71)+IF(ISNUMBER(SEARCH("H",I71)),64,0)+IF(ISNUMBER(SEARCH("V",I71)),32,0)),2)&amp;", $"&amp;RIGHT("0"&amp;DEC2HEX(HEX2DEC(P71)+IF(ISNUMBER(SEARCH("H",O71)),64,0)+IF(ISNUMBER(SEARCH("V",O71)),32,0)),2)&amp;" ' "&amp;B71&amp;" - "&amp;C71</f>
        <v>DATA BYTE $00, $00, $00, $00, $00, $00, $00, $00 ' 0 - Empty</v>
      </c>
    </row>
    <row r="72" spans="1:18" x14ac:dyDescent="0.25">
      <c r="A72">
        <v>2</v>
      </c>
      <c r="B72" s="2">
        <v>11</v>
      </c>
      <c r="C72" t="s">
        <v>17</v>
      </c>
      <c r="D72" s="7" t="s">
        <v>16</v>
      </c>
      <c r="E72" s="2">
        <v>22</v>
      </c>
      <c r="F72" s="2" t="s">
        <v>83</v>
      </c>
      <c r="G72" s="2" t="str">
        <f>VLOOKUP(E72,Sheet2!$A:$B,2)</f>
        <v>04</v>
      </c>
      <c r="H72" s="2">
        <v>23</v>
      </c>
      <c r="I72" s="2" t="s">
        <v>83</v>
      </c>
      <c r="J72" s="2" t="str">
        <f>VLOOKUP(H72,Sheet2!$A:$B,2)</f>
        <v>04</v>
      </c>
      <c r="K72" s="2">
        <v>20</v>
      </c>
      <c r="L72" s="2" t="s">
        <v>83</v>
      </c>
      <c r="M72" s="2" t="str">
        <f>VLOOKUP(K72,Sheet2!$A:$B,2)</f>
        <v>04</v>
      </c>
      <c r="N72" s="2">
        <v>21</v>
      </c>
      <c r="O72" s="2" t="s">
        <v>83</v>
      </c>
      <c r="P72" s="2" t="str">
        <f>VLOOKUP(N72,Sheet2!$A:$B,2)</f>
        <v>04</v>
      </c>
      <c r="R72" t="str">
        <f t="shared" si="15"/>
        <v>DATA BYTE $16, $14, $17, $15, $44, $44, $44, $44 ' 11 - Port - Left</v>
      </c>
    </row>
    <row r="73" spans="1:18" x14ac:dyDescent="0.25">
      <c r="A73">
        <v>3</v>
      </c>
      <c r="B73" s="2">
        <v>12</v>
      </c>
      <c r="C73" t="s">
        <v>19</v>
      </c>
      <c r="D73" s="7" t="s">
        <v>18</v>
      </c>
      <c r="E73" s="2">
        <v>13</v>
      </c>
      <c r="F73" s="2" t="s">
        <v>84</v>
      </c>
      <c r="G73" s="2" t="str">
        <f>VLOOKUP(E73,Sheet2!A:B,2)</f>
        <v>04</v>
      </c>
      <c r="H73" s="2">
        <v>12</v>
      </c>
      <c r="I73" s="2" t="s">
        <v>84</v>
      </c>
      <c r="J73" s="2" t="str">
        <f>VLOOKUP(H73,Sheet2!$A:$B,2)</f>
        <v>04</v>
      </c>
      <c r="K73" s="2">
        <v>15</v>
      </c>
      <c r="L73" s="2" t="s">
        <v>84</v>
      </c>
      <c r="M73" s="2" t="str">
        <f>VLOOKUP(K73,Sheet2!$A:$B,2)</f>
        <v>04</v>
      </c>
      <c r="N73" s="2">
        <v>14</v>
      </c>
      <c r="O73" s="2" t="s">
        <v>84</v>
      </c>
      <c r="P73" s="2" t="str">
        <f>VLOOKUP(N73,Sheet2!$A:$B,2)</f>
        <v>04</v>
      </c>
      <c r="R73" t="str">
        <f t="shared" si="15"/>
        <v>DATA BYTE $0D, $0F, $0C, $0E, $24, $24, $24, $24 ' 12 - Port - Up</v>
      </c>
    </row>
    <row r="74" spans="1:18" x14ac:dyDescent="0.25">
      <c r="A74">
        <v>4</v>
      </c>
      <c r="B74" s="2">
        <v>15</v>
      </c>
      <c r="C74" t="s">
        <v>23</v>
      </c>
      <c r="D74" s="7" t="s">
        <v>22</v>
      </c>
      <c r="E74" s="2">
        <v>22</v>
      </c>
      <c r="F74" s="2" t="s">
        <v>83</v>
      </c>
      <c r="G74" s="2" t="str">
        <f>VLOOKUP(E74,Sheet2!A:B,2)</f>
        <v>04</v>
      </c>
      <c r="H74" s="2">
        <v>23</v>
      </c>
      <c r="I74" s="2" t="s">
        <v>83</v>
      </c>
      <c r="J74" s="2" t="str">
        <f>VLOOKUP(H74,Sheet2!$A:$B,2)</f>
        <v>04</v>
      </c>
      <c r="K74" s="2">
        <v>20</v>
      </c>
      <c r="L74" s="2" t="s">
        <v>83</v>
      </c>
      <c r="M74" s="2" t="str">
        <f>VLOOKUP(K74,Sheet2!$A:$B,2)</f>
        <v>04</v>
      </c>
      <c r="N74" s="2">
        <v>21</v>
      </c>
      <c r="O74" s="2" t="s">
        <v>83</v>
      </c>
      <c r="P74" s="2" t="str">
        <f>VLOOKUP(N74,Sheet2!$A:$B,2)</f>
        <v>04</v>
      </c>
      <c r="R74" t="str">
        <f t="shared" si="15"/>
        <v>DATA BYTE $16, $14, $17, $15, $44, $44, $44, $44 ' 15 - Gravity port - Left</v>
      </c>
    </row>
    <row r="75" spans="1:18" x14ac:dyDescent="0.25">
      <c r="A75">
        <v>5</v>
      </c>
      <c r="B75" s="2">
        <v>16</v>
      </c>
      <c r="C75" t="s">
        <v>24</v>
      </c>
      <c r="D75" s="7">
        <v>10</v>
      </c>
      <c r="E75" s="2">
        <v>13</v>
      </c>
      <c r="F75" s="2" t="s">
        <v>84</v>
      </c>
      <c r="G75" s="2" t="str">
        <f>VLOOKUP(E75,Sheet2!A:B,2)</f>
        <v>04</v>
      </c>
      <c r="H75" s="2">
        <v>12</v>
      </c>
      <c r="I75" s="2" t="s">
        <v>84</v>
      </c>
      <c r="J75" s="2" t="str">
        <f>VLOOKUP(H75,Sheet2!$A:$B,2)</f>
        <v>04</v>
      </c>
      <c r="K75" s="2">
        <v>15</v>
      </c>
      <c r="L75" s="2" t="s">
        <v>84</v>
      </c>
      <c r="M75" s="2" t="str">
        <f>VLOOKUP(K75,Sheet2!$A:$B,2)</f>
        <v>04</v>
      </c>
      <c r="N75" s="2">
        <v>14</v>
      </c>
      <c r="O75" s="2" t="s">
        <v>84</v>
      </c>
      <c r="P75" s="2" t="str">
        <f>VLOOKUP(N75,Sheet2!$A:$B,2)</f>
        <v>04</v>
      </c>
      <c r="R75" t="str">
        <f t="shared" si="15"/>
        <v>DATA BYTE $0D, $0F, $0C, $0E, $24, $24, $24, $24 ' 16 - Gravity port - Up</v>
      </c>
    </row>
    <row r="76" spans="1:18" x14ac:dyDescent="0.25">
      <c r="A76">
        <v>6</v>
      </c>
      <c r="B76" s="2">
        <v>18</v>
      </c>
      <c r="C76" t="s">
        <v>26</v>
      </c>
      <c r="D76" s="7">
        <v>12</v>
      </c>
      <c r="E76" s="2">
        <v>160</v>
      </c>
      <c r="F76" s="2" t="s">
        <v>86</v>
      </c>
      <c r="G76" s="2" t="str">
        <f>VLOOKUP(E76,Sheet2!A:B,2)</f>
        <v>06</v>
      </c>
      <c r="H76" s="2">
        <v>193</v>
      </c>
      <c r="I76" s="2" t="s">
        <v>86</v>
      </c>
      <c r="J76" s="2" t="str">
        <f>VLOOKUP(H76,Sheet2!$A:$B,2)</f>
        <v>06</v>
      </c>
      <c r="K76" s="2">
        <v>161</v>
      </c>
      <c r="L76" s="2" t="s">
        <v>86</v>
      </c>
      <c r="M76" s="2" t="str">
        <f>VLOOKUP(K76,Sheet2!$A:$B,2)</f>
        <v>06</v>
      </c>
      <c r="N76" s="2">
        <v>195</v>
      </c>
      <c r="O76" s="2" t="s">
        <v>86</v>
      </c>
      <c r="P76" s="2" t="str">
        <f>VLOOKUP(N76,Sheet2!$A:$B,2)</f>
        <v>06</v>
      </c>
      <c r="R76" t="str">
        <f t="shared" si="15"/>
        <v>DATA BYTE $A0, $A1, $C1, $C3, $06, $06, $06, $06 ' 18 - Floppy - Yellow</v>
      </c>
    </row>
    <row r="77" spans="1:18" x14ac:dyDescent="0.25">
      <c r="A77">
        <v>7</v>
      </c>
      <c r="B77" s="2">
        <v>20</v>
      </c>
      <c r="C77" t="s">
        <v>28</v>
      </c>
      <c r="D77" s="7">
        <v>14</v>
      </c>
      <c r="E77" s="2">
        <v>162</v>
      </c>
      <c r="F77" s="2" t="s">
        <v>86</v>
      </c>
      <c r="G77" s="2" t="str">
        <f>VLOOKUP(E77,Sheet2!A:B,2)</f>
        <v>06</v>
      </c>
      <c r="H77" s="2">
        <v>193</v>
      </c>
      <c r="I77" s="2" t="s">
        <v>86</v>
      </c>
      <c r="J77" s="2" t="str">
        <f>VLOOKUP(H77,Sheet2!$A:$B,2)</f>
        <v>06</v>
      </c>
      <c r="K77" s="2">
        <v>163</v>
      </c>
      <c r="L77" s="2" t="s">
        <v>86</v>
      </c>
      <c r="M77" s="2" t="str">
        <f>VLOOKUP(K77,Sheet2!$A:$B,2)</f>
        <v>06</v>
      </c>
      <c r="N77" s="2">
        <v>195</v>
      </c>
      <c r="O77" s="2" t="s">
        <v>86</v>
      </c>
      <c r="P77" s="2" t="str">
        <f>VLOOKUP(N77,Sheet2!$A:$B,2)</f>
        <v>06</v>
      </c>
      <c r="R77" t="str">
        <f t="shared" si="15"/>
        <v>DATA BYTE $A2, $A3, $C1, $C3, $06, $06, $06, $06 ' 20 - Floppy - Red</v>
      </c>
    </row>
    <row r="78" spans="1:18" x14ac:dyDescent="0.25">
      <c r="A78">
        <v>8</v>
      </c>
      <c r="B78" s="2">
        <v>21</v>
      </c>
      <c r="C78" t="s">
        <v>29</v>
      </c>
      <c r="D78" s="7">
        <v>15</v>
      </c>
      <c r="E78" s="2">
        <v>13</v>
      </c>
      <c r="F78" s="2" t="s">
        <v>84</v>
      </c>
      <c r="G78" s="2" t="str">
        <f>VLOOKUP(E78,Sheet2!A:B,2)</f>
        <v>04</v>
      </c>
      <c r="H78" s="2">
        <v>13</v>
      </c>
      <c r="I78" s="2" t="s">
        <v>86</v>
      </c>
      <c r="J78" s="2" t="str">
        <f>VLOOKUP(H78,Sheet2!$A:$B,2)</f>
        <v>04</v>
      </c>
      <c r="K78" s="2">
        <v>15</v>
      </c>
      <c r="L78" s="2" t="s">
        <v>84</v>
      </c>
      <c r="M78" s="2" t="str">
        <f>VLOOKUP(K78,Sheet2!$A:$B,2)</f>
        <v>04</v>
      </c>
      <c r="N78" s="2">
        <v>15</v>
      </c>
      <c r="O78" s="2" t="s">
        <v>86</v>
      </c>
      <c r="P78" s="2" t="str">
        <f>VLOOKUP(N78,Sheet2!$A:$B,2)</f>
        <v>04</v>
      </c>
      <c r="R78" t="str">
        <f t="shared" si="15"/>
        <v>DATA BYTE $0D, $0F, $0D, $0F, $24, $24, $04, $04 ' 21 - Port - Two-way vertical</v>
      </c>
    </row>
    <row r="79" spans="1:18" x14ac:dyDescent="0.25">
      <c r="A79">
        <v>9</v>
      </c>
      <c r="B79" s="2">
        <v>22</v>
      </c>
      <c r="C79" t="s">
        <v>30</v>
      </c>
      <c r="D79" s="7">
        <v>16</v>
      </c>
      <c r="E79" s="2">
        <v>22</v>
      </c>
      <c r="F79" s="2" t="s">
        <v>83</v>
      </c>
      <c r="G79" s="2" t="str">
        <f>VLOOKUP(E79,Sheet2!A:B,2)</f>
        <v>04</v>
      </c>
      <c r="H79" s="2">
        <v>23</v>
      </c>
      <c r="I79" s="2" t="s">
        <v>83</v>
      </c>
      <c r="J79" s="2" t="str">
        <f>VLOOKUP(H79,Sheet2!$A:$B,2)</f>
        <v>04</v>
      </c>
      <c r="K79" s="2">
        <v>22</v>
      </c>
      <c r="L79" s="2" t="s">
        <v>86</v>
      </c>
      <c r="M79" s="2" t="str">
        <f>VLOOKUP(K79,Sheet2!$A:$B,2)</f>
        <v>04</v>
      </c>
      <c r="N79" s="2">
        <v>23</v>
      </c>
      <c r="O79" s="2" t="s">
        <v>86</v>
      </c>
      <c r="P79" s="2" t="str">
        <f>VLOOKUP(N79,Sheet2!$A:$B,2)</f>
        <v>04</v>
      </c>
      <c r="R79" t="str">
        <f t="shared" si="15"/>
        <v>DATA BYTE $16, $16, $17, $17, $44, $04, $44, $04 ' 22 - Port - Two-way horizontal</v>
      </c>
    </row>
    <row r="80" spans="1:18" x14ac:dyDescent="0.25">
      <c r="A80">
        <v>10</v>
      </c>
      <c r="B80" s="2">
        <v>31</v>
      </c>
      <c r="C80" t="s">
        <v>36</v>
      </c>
      <c r="D80" s="7" t="s">
        <v>38</v>
      </c>
      <c r="E80" s="2">
        <v>96</v>
      </c>
      <c r="F80" s="2" t="s">
        <v>86</v>
      </c>
      <c r="G80" s="6" t="s">
        <v>61</v>
      </c>
      <c r="H80" s="2">
        <v>97</v>
      </c>
      <c r="I80" s="2" t="s">
        <v>86</v>
      </c>
      <c r="J80" s="6" t="s">
        <v>61</v>
      </c>
      <c r="K80" s="2">
        <v>98</v>
      </c>
      <c r="L80" s="2" t="s">
        <v>86</v>
      </c>
      <c r="M80" s="6" t="s">
        <v>61</v>
      </c>
      <c r="N80" s="2">
        <v>99</v>
      </c>
      <c r="O80" s="2" t="s">
        <v>86</v>
      </c>
      <c r="P80" s="6" t="s">
        <v>61</v>
      </c>
      <c r="R80" t="str">
        <f t="shared" si="15"/>
        <v>DATA BYTE $60, $62, $61, $63, $04, $04, $04, $04 ' 31 - Hardware (decoration)</v>
      </c>
    </row>
    <row r="81" spans="1:18" x14ac:dyDescent="0.25">
      <c r="A81">
        <v>11</v>
      </c>
      <c r="B81" s="2">
        <v>41</v>
      </c>
      <c r="C81" t="s">
        <v>53</v>
      </c>
      <c r="D81" s="7">
        <v>29</v>
      </c>
      <c r="E81" s="2">
        <v>3</v>
      </c>
      <c r="F81" s="2" t="s">
        <v>86</v>
      </c>
      <c r="G81" s="2" t="str">
        <f>VLOOKUP(E81,Sheet2!A:B,2)</f>
        <v>04</v>
      </c>
      <c r="H81" s="2">
        <v>3</v>
      </c>
      <c r="I81" s="2" t="s">
        <v>86</v>
      </c>
      <c r="J81" s="2" t="str">
        <f>VLOOKUP(H81,Sheet2!$A:$B,2)</f>
        <v>04</v>
      </c>
      <c r="K81" s="2">
        <v>3</v>
      </c>
      <c r="L81" s="2" t="s">
        <v>86</v>
      </c>
      <c r="M81" s="2" t="str">
        <f>VLOOKUP(K81,Sheet2!$A:$B,2)</f>
        <v>04</v>
      </c>
      <c r="N81" s="2">
        <v>3</v>
      </c>
      <c r="O81" s="2" t="s">
        <v>86</v>
      </c>
      <c r="P81" s="2" t="str">
        <f>VLOOKUP(N81,Sheet2!$A:$B,2)</f>
        <v>04</v>
      </c>
      <c r="R81" t="str">
        <f t="shared" si="15"/>
        <v>DATA BYTE $03, $03, $03, $03, $04, $04, $04, $04 ' 41 - Border - Horizontal</v>
      </c>
    </row>
    <row r="82" spans="1:18" x14ac:dyDescent="0.25">
      <c r="A82">
        <v>12</v>
      </c>
      <c r="B82" s="2">
        <v>42</v>
      </c>
      <c r="C82" t="s">
        <v>54</v>
      </c>
      <c r="D82" s="7">
        <v>30</v>
      </c>
      <c r="E82" s="2">
        <v>2</v>
      </c>
      <c r="F82" s="2" t="s">
        <v>86</v>
      </c>
      <c r="G82" s="2" t="str">
        <f>VLOOKUP(E82,Sheet2!A:B,2)</f>
        <v>04</v>
      </c>
      <c r="H82" s="2">
        <v>2</v>
      </c>
      <c r="I82" s="2" t="s">
        <v>86</v>
      </c>
      <c r="J82" s="2" t="str">
        <f>VLOOKUP(H82,Sheet2!$A:$B,2)</f>
        <v>04</v>
      </c>
      <c r="K82" s="2">
        <v>2</v>
      </c>
      <c r="L82" s="2" t="s">
        <v>86</v>
      </c>
      <c r="M82" s="2" t="str">
        <f>VLOOKUP(K82,Sheet2!$A:$B,2)</f>
        <v>04</v>
      </c>
      <c r="N82" s="2">
        <v>2</v>
      </c>
      <c r="O82" s="2" t="s">
        <v>86</v>
      </c>
      <c r="P82" s="2" t="str">
        <f>VLOOKUP(N82,Sheet2!$A:$B,2)</f>
        <v>04</v>
      </c>
      <c r="R82" t="str">
        <f t="shared" si="15"/>
        <v>DATA BYTE $02, $02, $02, $02, $04, $04, $04, $04 ' 42 - Border - Vertical</v>
      </c>
    </row>
    <row r="83" spans="1:18" x14ac:dyDescent="0.25">
      <c r="A83">
        <v>13</v>
      </c>
      <c r="B83" s="2">
        <v>4</v>
      </c>
      <c r="C83" t="s">
        <v>8</v>
      </c>
      <c r="D83" s="7">
        <v>4</v>
      </c>
      <c r="E83" s="2">
        <v>240</v>
      </c>
      <c r="F83" s="2" t="s">
        <v>86</v>
      </c>
      <c r="G83" s="6" t="s">
        <v>81</v>
      </c>
      <c r="H83" s="2">
        <v>241</v>
      </c>
      <c r="I83" s="2" t="s">
        <v>86</v>
      </c>
      <c r="J83" s="6" t="s">
        <v>82</v>
      </c>
      <c r="K83" s="2">
        <v>242</v>
      </c>
      <c r="L83" s="2" t="s">
        <v>86</v>
      </c>
      <c r="M83" s="6" t="s">
        <v>81</v>
      </c>
      <c r="N83" s="2">
        <v>243</v>
      </c>
      <c r="O83" s="2" t="s">
        <v>86</v>
      </c>
      <c r="P83" s="6" t="s">
        <v>82</v>
      </c>
      <c r="R83" t="str">
        <f t="shared" si="15"/>
        <v>DATA BYTE $F0, $F2, $F1, $F3, $08, $08, $06, $06 ' 4 - Infotron</v>
      </c>
    </row>
    <row r="84" spans="1:18" x14ac:dyDescent="0.25">
      <c r="A84">
        <v>14</v>
      </c>
      <c r="B84" s="2">
        <v>33</v>
      </c>
      <c r="C84" t="s">
        <v>36</v>
      </c>
      <c r="D84" s="7" t="s">
        <v>63</v>
      </c>
      <c r="E84" s="2">
        <v>144</v>
      </c>
      <c r="F84" s="2" t="s">
        <v>86</v>
      </c>
      <c r="G84" s="2" t="str">
        <f>VLOOKUP(E84,Sheet2!$A:$B,2)</f>
        <v>02</v>
      </c>
      <c r="H84" s="2">
        <v>145</v>
      </c>
      <c r="I84" s="2" t="s">
        <v>86</v>
      </c>
      <c r="J84" s="2" t="str">
        <f>VLOOKUP(H84,Sheet2!$A:$B,2)</f>
        <v>0A</v>
      </c>
      <c r="K84" s="2">
        <v>146</v>
      </c>
      <c r="L84" s="2" t="s">
        <v>86</v>
      </c>
      <c r="M84" s="2" t="str">
        <f>VLOOKUP(K84,Sheet2!$A:$B,2)</f>
        <v>0A</v>
      </c>
      <c r="N84" s="2">
        <v>147</v>
      </c>
      <c r="O84" s="2" t="s">
        <v>86</v>
      </c>
      <c r="P84" s="2" t="str">
        <f>VLOOKUP(N84,Sheet2!$A:$B,2)</f>
        <v>0A</v>
      </c>
      <c r="R84" t="str">
        <f t="shared" si="15"/>
        <v>DATA BYTE $90, $92, $91, $93, $02, $0A, $0A, $0A ' 33 - Hardware (decoration)</v>
      </c>
    </row>
    <row r="85" spans="1:18" x14ac:dyDescent="0.25">
      <c r="A85">
        <v>15</v>
      </c>
      <c r="B85" s="2">
        <v>19</v>
      </c>
      <c r="C85" t="s">
        <v>27</v>
      </c>
      <c r="D85" s="7" t="s">
        <v>37</v>
      </c>
      <c r="E85" s="2">
        <v>116</v>
      </c>
      <c r="F85" s="2" t="s">
        <v>86</v>
      </c>
      <c r="G85" s="2" t="s">
        <v>18</v>
      </c>
      <c r="H85" s="2">
        <v>117</v>
      </c>
      <c r="I85" s="2" t="s">
        <v>86</v>
      </c>
      <c r="J85" s="2" t="s">
        <v>18</v>
      </c>
      <c r="K85" s="2">
        <v>118</v>
      </c>
      <c r="L85" s="2" t="s">
        <v>86</v>
      </c>
      <c r="M85" s="2" t="s">
        <v>18</v>
      </c>
      <c r="N85" s="2">
        <v>119</v>
      </c>
      <c r="O85" s="2" t="s">
        <v>86</v>
      </c>
      <c r="P85" s="2" t="str">
        <f>VLOOKUP(N85,Sheet2!$A:$B,2)</f>
        <v>04</v>
      </c>
      <c r="R85" t="str">
        <f t="shared" si="15"/>
        <v>DATA BYTE $74, $76, $75, $77, $0C, $0C, $0C, $04 ' 19 - Terminal</v>
      </c>
    </row>
    <row r="86" spans="1:18" x14ac:dyDescent="0.25">
      <c r="A86">
        <v>16</v>
      </c>
      <c r="B86" s="2">
        <v>46</v>
      </c>
      <c r="C86" t="s">
        <v>66</v>
      </c>
      <c r="D86" s="7" t="s">
        <v>71</v>
      </c>
      <c r="E86" s="2">
        <v>217</v>
      </c>
      <c r="F86" s="2" t="s">
        <v>84</v>
      </c>
      <c r="G86" s="2" t="str">
        <f>VLOOKUP(E86,Sheet2!$A:$B,2)</f>
        <v>00</v>
      </c>
      <c r="H86">
        <v>216</v>
      </c>
      <c r="I86" s="2" t="s">
        <v>84</v>
      </c>
      <c r="J86" s="2" t="str">
        <f>VLOOKUP(H86,Sheet2!$A:$B,2)</f>
        <v>00</v>
      </c>
      <c r="K86" s="2">
        <v>219</v>
      </c>
      <c r="L86" s="2" t="s">
        <v>84</v>
      </c>
      <c r="M86" s="2" t="str">
        <f>VLOOKUP(K86,Sheet2!$A:$B,2)</f>
        <v>00</v>
      </c>
      <c r="N86" s="2">
        <v>218</v>
      </c>
      <c r="O86" s="2" t="s">
        <v>84</v>
      </c>
      <c r="P86" s="2" t="str">
        <f>VLOOKUP(N86,Sheet2!$A:$B,2)</f>
        <v>00</v>
      </c>
      <c r="R86" t="str">
        <f t="shared" si="15"/>
        <v>DATA BYTE $D9, $DB, $D8, $DA, $20, $20, $20, $20 ' 46 - Snik Snak - DL</v>
      </c>
    </row>
    <row r="87" spans="1:18" x14ac:dyDescent="0.25">
      <c r="A87">
        <v>17</v>
      </c>
      <c r="B87" s="2">
        <v>47</v>
      </c>
      <c r="C87" t="s">
        <v>67</v>
      </c>
      <c r="D87" s="7" t="s">
        <v>72</v>
      </c>
      <c r="E87" s="2">
        <v>213</v>
      </c>
      <c r="F87" s="2" t="s">
        <v>84</v>
      </c>
      <c r="G87" s="2" t="str">
        <f>VLOOKUP(E87,Sheet2!$A:$B,2)</f>
        <v>00</v>
      </c>
      <c r="H87" s="2">
        <v>212</v>
      </c>
      <c r="I87" s="2" t="s">
        <v>84</v>
      </c>
      <c r="J87" s="2" t="str">
        <f>VLOOKUP(H87,Sheet2!$A:$B,2)</f>
        <v>00</v>
      </c>
      <c r="K87" s="2">
        <v>215</v>
      </c>
      <c r="L87" s="2" t="s">
        <v>84</v>
      </c>
      <c r="M87" s="2" t="str">
        <f>VLOOKUP(K87,Sheet2!$A:$B,2)</f>
        <v>00</v>
      </c>
      <c r="N87" s="2">
        <v>214</v>
      </c>
      <c r="O87" s="2" t="s">
        <v>84</v>
      </c>
      <c r="P87" s="2" t="str">
        <f>VLOOKUP(N87,Sheet2!$A:$B,2)</f>
        <v>00</v>
      </c>
      <c r="R87" t="str">
        <f t="shared" si="15"/>
        <v>DATA BYTE $D5, $D7, $D4, $D6, $20, $20, $20, $20 ' 47 - Snik Snak - D</v>
      </c>
    </row>
    <row r="88" spans="1:18" x14ac:dyDescent="0.25">
      <c r="A88">
        <v>18</v>
      </c>
      <c r="B88" s="2">
        <v>48</v>
      </c>
      <c r="C88" t="s">
        <v>68</v>
      </c>
      <c r="D88" s="7" t="s">
        <v>73</v>
      </c>
      <c r="E88" s="2">
        <v>219</v>
      </c>
      <c r="F88" s="2" t="s">
        <v>85</v>
      </c>
      <c r="G88" s="2" t="str">
        <f>VLOOKUP(E88,Sheet2!$A:$B,2)</f>
        <v>00</v>
      </c>
      <c r="H88" s="2">
        <v>218</v>
      </c>
      <c r="I88" s="2" t="s">
        <v>85</v>
      </c>
      <c r="J88" s="2" t="str">
        <f>VLOOKUP(H88,Sheet2!$A:$B,2)</f>
        <v>00</v>
      </c>
      <c r="K88" s="2">
        <v>217</v>
      </c>
      <c r="L88" s="2" t="s">
        <v>85</v>
      </c>
      <c r="M88" s="2" t="str">
        <f>VLOOKUP(K88,Sheet2!$A:$B,2)</f>
        <v>00</v>
      </c>
      <c r="N88" s="2">
        <v>216</v>
      </c>
      <c r="O88" s="2" t="s">
        <v>85</v>
      </c>
      <c r="P88" s="2" t="str">
        <f>VLOOKUP(N88,Sheet2!$A:$B,2)</f>
        <v>00</v>
      </c>
      <c r="R88" t="str">
        <f t="shared" si="15"/>
        <v>DATA BYTE $DB, $D9, $DA, $D8, $60, $60, $60, $60 ' 48 - Snik Snak - DR</v>
      </c>
    </row>
    <row r="89" spans="1:18" x14ac:dyDescent="0.25">
      <c r="A89">
        <v>19</v>
      </c>
      <c r="B89" s="2">
        <v>49</v>
      </c>
      <c r="C89" t="s">
        <v>69</v>
      </c>
      <c r="D89" s="7" t="s">
        <v>74</v>
      </c>
      <c r="E89" s="2">
        <v>210</v>
      </c>
      <c r="F89" s="2" t="s">
        <v>83</v>
      </c>
      <c r="G89" s="2" t="str">
        <f>VLOOKUP(E89,Sheet2!$A:$B,2)</f>
        <v>00</v>
      </c>
      <c r="H89" s="2">
        <v>211</v>
      </c>
      <c r="I89" s="2" t="s">
        <v>83</v>
      </c>
      <c r="J89" s="2" t="str">
        <f>VLOOKUP(H89,Sheet2!$A:$B,2)</f>
        <v>00</v>
      </c>
      <c r="K89" s="2">
        <v>208</v>
      </c>
      <c r="L89" s="2" t="s">
        <v>83</v>
      </c>
      <c r="M89" s="2" t="str">
        <f>VLOOKUP(K89,Sheet2!$A:$B,2)</f>
        <v>00</v>
      </c>
      <c r="N89" s="2">
        <v>209</v>
      </c>
      <c r="O89" s="2" t="s">
        <v>83</v>
      </c>
      <c r="P89" s="2" t="str">
        <f>VLOOKUP(N89,Sheet2!$A:$B,2)</f>
        <v>00</v>
      </c>
      <c r="R89" t="str">
        <f t="shared" si="15"/>
        <v>DATA BYTE $D2, $D0, $D3, $D1, $40, $40, $40, $40 ' 49 - Snik Snak - R</v>
      </c>
    </row>
    <row r="90" spans="1:18" x14ac:dyDescent="0.25">
      <c r="A90">
        <v>20</v>
      </c>
      <c r="B90" s="2">
        <v>50</v>
      </c>
      <c r="C90" t="s">
        <v>70</v>
      </c>
      <c r="D90" s="7" t="s">
        <v>75</v>
      </c>
      <c r="E90" s="2">
        <v>218</v>
      </c>
      <c r="F90" s="2" t="s">
        <v>83</v>
      </c>
      <c r="G90" s="2" t="str">
        <f>VLOOKUP(E90,Sheet2!$A:$B,2)</f>
        <v>00</v>
      </c>
      <c r="H90" s="2">
        <v>219</v>
      </c>
      <c r="I90" s="2" t="s">
        <v>83</v>
      </c>
      <c r="J90" s="2" t="str">
        <f>VLOOKUP(H90,Sheet2!$A:$B,2)</f>
        <v>00</v>
      </c>
      <c r="K90" s="2">
        <v>216</v>
      </c>
      <c r="L90" s="2" t="s">
        <v>83</v>
      </c>
      <c r="M90" s="2" t="str">
        <f>VLOOKUP(K90,Sheet2!$A:$B,2)</f>
        <v>00</v>
      </c>
      <c r="N90" s="2">
        <v>217</v>
      </c>
      <c r="O90" s="2" t="s">
        <v>83</v>
      </c>
      <c r="P90" s="2" t="str">
        <f>VLOOKUP(N90,Sheet2!$A:$B,2)</f>
        <v>00</v>
      </c>
      <c r="R90" t="str">
        <f t="shared" si="15"/>
        <v>DATA BYTE $DA, $D8, $DB, $D9, $40, $40, $40, $40 ' 50 - Snik Snak - UR</v>
      </c>
    </row>
    <row r="91" spans="1:18" x14ac:dyDescent="0.25">
      <c r="A91">
        <v>21</v>
      </c>
      <c r="B91" s="2">
        <v>52</v>
      </c>
      <c r="C91" t="s">
        <v>78</v>
      </c>
      <c r="D91" s="2">
        <v>95</v>
      </c>
      <c r="E91" s="2">
        <v>202</v>
      </c>
      <c r="F91" s="2" t="s">
        <v>83</v>
      </c>
      <c r="G91" s="2" t="str">
        <f>VLOOKUP(E91,Sheet2!A:B,2)</f>
        <v>04</v>
      </c>
      <c r="H91" s="2">
        <v>203</v>
      </c>
      <c r="I91" s="2" t="s">
        <v>83</v>
      </c>
      <c r="J91" s="2" t="str">
        <f>VLOOKUP(H91,Sheet2!$A:$B,2)</f>
        <v>04</v>
      </c>
      <c r="K91" s="2">
        <v>200</v>
      </c>
      <c r="L91" s="2" t="s">
        <v>83</v>
      </c>
      <c r="M91" s="2" t="str">
        <f>VLOOKUP(K91,Sheet2!$A:$B,2)</f>
        <v>04</v>
      </c>
      <c r="N91" s="2">
        <v>201</v>
      </c>
      <c r="O91" s="2" t="s">
        <v>83</v>
      </c>
      <c r="P91" s="2" t="str">
        <f>VLOOKUP(N91,Sheet2!$A:$B,2)</f>
        <v>04</v>
      </c>
      <c r="R91" t="str">
        <f>"DATA BYTE $"&amp;RIGHT("0"&amp;DEC2HEX(E91),2)&amp;", $"&amp;RIGHT("0"&amp;DEC2HEX(K91),2)&amp;", $"&amp;RIGHT("0"&amp;DEC2HEX(H91),2)&amp;", $"&amp;RIGHT("0"&amp;DEC2HEX(N91),2)&amp;", $"&amp;RIGHT("0"&amp;DEC2HEX(HEX2DEC(G91)+IF(ISNUMBER(SEARCH("H",F91)),64,0)+IF(ISNUMBER(SEARCH("V",F91)),32,0)),2)&amp;", $"&amp;RIGHT("0"&amp;DEC2HEX(HEX2DEC(M91)+IF(ISNUMBER(SEARCH("H",L91)),64,0)+IF(ISNUMBER(SEARCH("V",L91)),32,0)),2)&amp;", $"&amp;RIGHT("0"&amp;DEC2HEX(HEX2DEC(J91)+IF(ISNUMBER(SEARCH("H",I91)),64,0)+IF(ISNUMBER(SEARCH("V",I91)),32,0)),2)&amp;", $"&amp;RIGHT("0"&amp;DEC2HEX(HEX2DEC(P91)+IF(ISNUMBER(SEARCH("H",O91)),64,0)+IF(ISNUMBER(SEARCH("V",O91)),32,0)),2)&amp;" ' "&amp;B91&amp;" - "&amp;C91</f>
        <v>DATA BYTE $CA, $C8, $CB, $C9, $44, $44, $44, $44 ' 52 - Zonk - HL</v>
      </c>
    </row>
    <row r="92" spans="1:18" x14ac:dyDescent="0.25">
      <c r="A92">
        <v>22</v>
      </c>
      <c r="B92" s="2">
        <v>55</v>
      </c>
      <c r="C92" t="s">
        <v>107</v>
      </c>
      <c r="D92" s="2">
        <v>96</v>
      </c>
      <c r="E92" s="2">
        <v>186</v>
      </c>
      <c r="F92" s="2" t="s">
        <v>83</v>
      </c>
      <c r="G92" s="2">
        <v>4</v>
      </c>
      <c r="H92" s="2">
        <v>184</v>
      </c>
      <c r="I92" s="2" t="s">
        <v>83</v>
      </c>
      <c r="J92" s="2">
        <v>0</v>
      </c>
      <c r="K92" s="2">
        <v>187</v>
      </c>
      <c r="L92" s="2" t="s">
        <v>83</v>
      </c>
      <c r="M92" s="2">
        <v>0</v>
      </c>
      <c r="N92" s="2">
        <v>185</v>
      </c>
      <c r="O92" s="2" t="s">
        <v>83</v>
      </c>
      <c r="P92" s="2">
        <v>0</v>
      </c>
      <c r="R92" t="str">
        <f>"DATA BYTE $"&amp;RIGHT("0"&amp;DEC2HEX(E92),2)&amp;", $"&amp;RIGHT("0"&amp;DEC2HEX(K92),2)&amp;", $"&amp;RIGHT("0"&amp;DEC2HEX(H92),2)&amp;", $"&amp;RIGHT("0"&amp;DEC2HEX(N92),2)&amp;", $"&amp;RIGHT("0"&amp;DEC2HEX(HEX2DEC(G92)+IF(ISNUMBER(SEARCH("H",F92)),64,0)+IF(ISNUMBER(SEARCH("V",F92)),32,0)),2)&amp;", $"&amp;RIGHT("0"&amp;DEC2HEX(HEX2DEC(M92)+IF(ISNUMBER(SEARCH("H",L92)),64,0)+IF(ISNUMBER(SEARCH("V",L92)),32,0)),2)&amp;", $"&amp;RIGHT("0"&amp;DEC2HEX(HEX2DEC(J92)+IF(ISNUMBER(SEARCH("H",I92)),64,0)+IF(ISNUMBER(SEARCH("V",I92)),32,0)),2)&amp;", $"&amp;RIGHT("0"&amp;DEC2HEX(HEX2DEC(P92)+IF(ISNUMBER(SEARCH("H",O92)),64,0)+IF(ISNUMBER(SEARCH("V",O92)),32,0)),2)&amp;" ' "&amp;B92&amp;" - "&amp;C92</f>
        <v>DATA BYTE $BA, $BB, $B8, $B9, $44, $40, $40, $40 ' 55 - Murphy (right)</v>
      </c>
    </row>
    <row r="93" spans="1:18" x14ac:dyDescent="0.25">
      <c r="A93">
        <v>23</v>
      </c>
    </row>
    <row r="94" spans="1:18" x14ac:dyDescent="0.25">
      <c r="A94">
        <v>24</v>
      </c>
    </row>
    <row r="97" spans="1:8" x14ac:dyDescent="0.25">
      <c r="A97">
        <v>0</v>
      </c>
      <c r="C97" s="8" t="s">
        <v>87</v>
      </c>
      <c r="E97" s="2">
        <v>212</v>
      </c>
      <c r="G97" s="2" t="str">
        <f>"$"&amp;DEC2HEX(E97+IF(ISNUMBER(SEARCH("H",F97)),2,0)+IF(ISNUMBER(SEARCH("V",F97)),1,0))</f>
        <v>$D4</v>
      </c>
      <c r="H97" t="str">
        <f>"  BYTE &gt;"&amp;RIGHT(G97,2)&amp;" ; "&amp;C97</f>
        <v xml:space="preserve">  BYTE &gt;D4 ; UP</v>
      </c>
    </row>
    <row r="98" spans="1:8" x14ac:dyDescent="0.25">
      <c r="A98">
        <v>1</v>
      </c>
      <c r="C98" s="8" t="s">
        <v>88</v>
      </c>
      <c r="E98" s="2">
        <v>216</v>
      </c>
      <c r="G98" s="2" t="str">
        <f t="shared" ref="G98:G144" si="16">"$"&amp;DEC2HEX(E98+IF(ISNUMBER(SEARCH("H",F98)),2,0)+IF(ISNUMBER(SEARCH("V",F98)),1,0))</f>
        <v>$D8</v>
      </c>
      <c r="H98" t="str">
        <f t="shared" ref="H98:H144" si="17">"  BYTE &gt;"&amp;RIGHT(G98,2)&amp;" ; "&amp;C98</f>
        <v xml:space="preserve">  BYTE &gt;D8 ; UP LEFT</v>
      </c>
    </row>
    <row r="99" spans="1:8" x14ac:dyDescent="0.25">
      <c r="A99">
        <v>2</v>
      </c>
      <c r="C99" s="8" t="s">
        <v>89</v>
      </c>
      <c r="E99" s="2">
        <v>208</v>
      </c>
      <c r="G99" s="2" t="str">
        <f t="shared" si="16"/>
        <v>$D0</v>
      </c>
      <c r="H99" t="str">
        <f t="shared" si="17"/>
        <v xml:space="preserve">  BYTE &gt;D0 ; LEFT </v>
      </c>
    </row>
    <row r="100" spans="1:8" x14ac:dyDescent="0.25">
      <c r="A100">
        <v>3</v>
      </c>
      <c r="C100" s="8" t="s">
        <v>90</v>
      </c>
      <c r="E100" s="2">
        <v>216</v>
      </c>
      <c r="F100" s="2" t="s">
        <v>84</v>
      </c>
      <c r="G100" s="2" t="str">
        <f t="shared" si="16"/>
        <v>$D9</v>
      </c>
      <c r="H100" t="str">
        <f t="shared" si="17"/>
        <v xml:space="preserve">  BYTE &gt;D9 ; DOWN-LEFT</v>
      </c>
    </row>
    <row r="101" spans="1:8" x14ac:dyDescent="0.25">
      <c r="A101">
        <v>4</v>
      </c>
      <c r="C101" s="8" t="s">
        <v>91</v>
      </c>
      <c r="E101" s="2">
        <v>212</v>
      </c>
      <c r="F101" s="2" t="s">
        <v>84</v>
      </c>
      <c r="G101" s="2" t="str">
        <f t="shared" si="16"/>
        <v>$D5</v>
      </c>
      <c r="H101" t="str">
        <f t="shared" si="17"/>
        <v xml:space="preserve">  BYTE &gt;D5 ; DOWN</v>
      </c>
    </row>
    <row r="102" spans="1:8" x14ac:dyDescent="0.25">
      <c r="A102">
        <v>5</v>
      </c>
      <c r="C102" s="8" t="s">
        <v>92</v>
      </c>
      <c r="E102" s="2">
        <v>216</v>
      </c>
      <c r="F102" s="2" t="s">
        <v>85</v>
      </c>
      <c r="G102" s="2" t="str">
        <f t="shared" si="16"/>
        <v>$DB</v>
      </c>
      <c r="H102" t="str">
        <f t="shared" si="17"/>
        <v xml:space="preserve">  BYTE &gt;DB ; DOWN-RIGHT</v>
      </c>
    </row>
    <row r="103" spans="1:8" x14ac:dyDescent="0.25">
      <c r="A103">
        <v>6</v>
      </c>
      <c r="C103" s="8" t="s">
        <v>93</v>
      </c>
      <c r="E103" s="2">
        <v>208</v>
      </c>
      <c r="F103" s="2" t="s">
        <v>83</v>
      </c>
      <c r="G103" s="2" t="str">
        <f t="shared" si="16"/>
        <v>$D2</v>
      </c>
      <c r="H103" t="str">
        <f t="shared" si="17"/>
        <v xml:space="preserve">  BYTE &gt;D2 ; RIGHT</v>
      </c>
    </row>
    <row r="104" spans="1:8" x14ac:dyDescent="0.25">
      <c r="A104">
        <v>7</v>
      </c>
      <c r="C104" s="8" t="s">
        <v>94</v>
      </c>
      <c r="E104" s="2">
        <v>216</v>
      </c>
      <c r="F104" s="2" t="s">
        <v>83</v>
      </c>
      <c r="G104" s="2" t="str">
        <f t="shared" si="16"/>
        <v>$DA</v>
      </c>
      <c r="H104" t="str">
        <f t="shared" si="17"/>
        <v xml:space="preserve">  BYTE &gt;DA ; UP-RIGHT</v>
      </c>
    </row>
    <row r="105" spans="1:8" x14ac:dyDescent="0.25">
      <c r="A105">
        <v>8</v>
      </c>
      <c r="C105" s="8" t="s">
        <v>87</v>
      </c>
      <c r="E105" s="2">
        <v>212</v>
      </c>
      <c r="G105" s="2" t="str">
        <f t="shared" si="16"/>
        <v>$D4</v>
      </c>
      <c r="H105" t="str">
        <f t="shared" si="17"/>
        <v xml:space="preserve">  BYTE &gt;D4 ; UP</v>
      </c>
    </row>
    <row r="106" spans="1:8" x14ac:dyDescent="0.25">
      <c r="A106">
        <v>9</v>
      </c>
      <c r="C106" s="8" t="s">
        <v>94</v>
      </c>
      <c r="E106" s="2">
        <v>216</v>
      </c>
      <c r="F106" s="2" t="s">
        <v>83</v>
      </c>
      <c r="G106" s="2" t="str">
        <f t="shared" si="16"/>
        <v>$DA</v>
      </c>
      <c r="H106" t="str">
        <f t="shared" si="17"/>
        <v xml:space="preserve">  BYTE &gt;DA ; UP-RIGHT</v>
      </c>
    </row>
    <row r="107" spans="1:8" x14ac:dyDescent="0.25">
      <c r="A107">
        <v>10</v>
      </c>
      <c r="C107" s="8" t="s">
        <v>93</v>
      </c>
      <c r="E107" s="2">
        <v>208</v>
      </c>
      <c r="F107" s="2" t="s">
        <v>83</v>
      </c>
      <c r="G107" s="2" t="str">
        <f t="shared" si="16"/>
        <v>$D2</v>
      </c>
      <c r="H107" t="str">
        <f t="shared" si="17"/>
        <v xml:space="preserve">  BYTE &gt;D2 ; RIGHT</v>
      </c>
    </row>
    <row r="108" spans="1:8" x14ac:dyDescent="0.25">
      <c r="A108">
        <v>11</v>
      </c>
      <c r="C108" s="8" t="s">
        <v>92</v>
      </c>
      <c r="E108" s="2">
        <v>216</v>
      </c>
      <c r="F108" s="2" t="s">
        <v>85</v>
      </c>
      <c r="G108" s="2" t="str">
        <f t="shared" si="16"/>
        <v>$DB</v>
      </c>
      <c r="H108" t="str">
        <f t="shared" si="17"/>
        <v xml:space="preserve">  BYTE &gt;DB ; DOWN-RIGHT</v>
      </c>
    </row>
    <row r="109" spans="1:8" x14ac:dyDescent="0.25">
      <c r="A109">
        <v>12</v>
      </c>
      <c r="C109" s="8" t="s">
        <v>91</v>
      </c>
      <c r="E109" s="2">
        <v>212</v>
      </c>
      <c r="F109" s="2" t="s">
        <v>84</v>
      </c>
      <c r="G109" s="2" t="str">
        <f t="shared" si="16"/>
        <v>$D5</v>
      </c>
      <c r="H109" t="str">
        <f t="shared" si="17"/>
        <v xml:space="preserve">  BYTE &gt;D5 ; DOWN</v>
      </c>
    </row>
    <row r="110" spans="1:8" x14ac:dyDescent="0.25">
      <c r="A110">
        <v>13</v>
      </c>
      <c r="C110" s="8" t="s">
        <v>90</v>
      </c>
      <c r="E110" s="2">
        <v>216</v>
      </c>
      <c r="F110" s="2" t="s">
        <v>84</v>
      </c>
      <c r="G110" s="2" t="str">
        <f t="shared" si="16"/>
        <v>$D9</v>
      </c>
      <c r="H110" t="str">
        <f t="shared" si="17"/>
        <v xml:space="preserve">  BYTE &gt;D9 ; DOWN-LEFT</v>
      </c>
    </row>
    <row r="111" spans="1:8" x14ac:dyDescent="0.25">
      <c r="A111">
        <v>14</v>
      </c>
      <c r="C111" s="8" t="s">
        <v>95</v>
      </c>
      <c r="E111" s="2">
        <v>208</v>
      </c>
      <c r="G111" s="2" t="str">
        <f t="shared" si="16"/>
        <v>$D0</v>
      </c>
      <c r="H111" t="str">
        <f t="shared" si="17"/>
        <v xml:space="preserve">  BYTE &gt;D0 ; LEFT</v>
      </c>
    </row>
    <row r="112" spans="1:8" x14ac:dyDescent="0.25">
      <c r="A112">
        <v>15</v>
      </c>
      <c r="C112" s="8" t="s">
        <v>96</v>
      </c>
      <c r="E112" s="2">
        <v>216</v>
      </c>
      <c r="G112" s="2" t="str">
        <f t="shared" si="16"/>
        <v>$D8</v>
      </c>
      <c r="H112" t="str">
        <f t="shared" si="17"/>
        <v xml:space="preserve">  BYTE &gt;D8 ; UP-LEFT</v>
      </c>
    </row>
    <row r="113" spans="1:8" x14ac:dyDescent="0.25">
      <c r="A113">
        <v>16</v>
      </c>
      <c r="C113" s="8" t="s">
        <v>87</v>
      </c>
      <c r="E113" s="2">
        <v>212</v>
      </c>
      <c r="G113" s="2" t="str">
        <f t="shared" si="16"/>
        <v>$D4</v>
      </c>
      <c r="H113" t="str">
        <f t="shared" si="17"/>
        <v xml:space="preserve">  BYTE &gt;D4 ; UP</v>
      </c>
    </row>
    <row r="114" spans="1:8" x14ac:dyDescent="0.25">
      <c r="A114">
        <v>17</v>
      </c>
      <c r="C114" s="8" t="s">
        <v>87</v>
      </c>
      <c r="E114" s="2">
        <v>212</v>
      </c>
      <c r="G114" s="2" t="str">
        <f t="shared" si="16"/>
        <v>$D4</v>
      </c>
      <c r="H114" t="str">
        <f t="shared" si="17"/>
        <v xml:space="preserve">  BYTE &gt;D4 ; UP</v>
      </c>
    </row>
    <row r="115" spans="1:8" x14ac:dyDescent="0.25">
      <c r="A115">
        <v>18</v>
      </c>
      <c r="C115" s="8" t="s">
        <v>87</v>
      </c>
      <c r="E115" s="2">
        <v>212</v>
      </c>
      <c r="G115" s="2" t="str">
        <f t="shared" si="16"/>
        <v>$D4</v>
      </c>
      <c r="H115" t="str">
        <f t="shared" si="17"/>
        <v xml:space="preserve">  BYTE &gt;D4 ; UP</v>
      </c>
    </row>
    <row r="116" spans="1:8" x14ac:dyDescent="0.25">
      <c r="A116">
        <v>19</v>
      </c>
      <c r="C116" s="8" t="s">
        <v>97</v>
      </c>
      <c r="E116" s="2">
        <v>224</v>
      </c>
      <c r="G116" s="2" t="str">
        <f t="shared" si="16"/>
        <v>$E0</v>
      </c>
      <c r="H116" t="str">
        <f t="shared" si="17"/>
        <v xml:space="preserve">  BYTE &gt;E0 ; UP (MED)</v>
      </c>
    </row>
    <row r="117" spans="1:8" x14ac:dyDescent="0.25">
      <c r="A117">
        <v>20</v>
      </c>
      <c r="C117" s="8" t="s">
        <v>97</v>
      </c>
      <c r="E117" s="2">
        <v>224</v>
      </c>
      <c r="G117" s="2" t="str">
        <f t="shared" si="16"/>
        <v>$E0</v>
      </c>
      <c r="H117" t="str">
        <f t="shared" si="17"/>
        <v xml:space="preserve">  BYTE &gt;E0 ; UP (MED)</v>
      </c>
    </row>
    <row r="118" spans="1:8" x14ac:dyDescent="0.25">
      <c r="A118">
        <v>21</v>
      </c>
      <c r="C118" s="8" t="s">
        <v>98</v>
      </c>
      <c r="E118" s="2">
        <v>228</v>
      </c>
      <c r="G118" s="2" t="str">
        <f t="shared" si="16"/>
        <v>$E4</v>
      </c>
      <c r="H118" t="str">
        <f t="shared" si="17"/>
        <v xml:space="preserve">  BYTE &gt;E4 ; UP (WIDE)</v>
      </c>
    </row>
    <row r="119" spans="1:8" x14ac:dyDescent="0.25">
      <c r="A119">
        <v>22</v>
      </c>
      <c r="C119" s="8" t="s">
        <v>98</v>
      </c>
      <c r="E119" s="2">
        <v>228</v>
      </c>
      <c r="G119" s="2" t="str">
        <f t="shared" si="16"/>
        <v>$E4</v>
      </c>
      <c r="H119" t="str">
        <f t="shared" si="17"/>
        <v xml:space="preserve">  BYTE &gt;E4 ; UP (WIDE)</v>
      </c>
    </row>
    <row r="120" spans="1:8" x14ac:dyDescent="0.25">
      <c r="A120">
        <v>23</v>
      </c>
      <c r="C120" s="8" t="s">
        <v>97</v>
      </c>
      <c r="E120" s="2">
        <v>224</v>
      </c>
      <c r="G120" s="2" t="str">
        <f t="shared" si="16"/>
        <v>$E0</v>
      </c>
      <c r="H120" t="str">
        <f t="shared" si="17"/>
        <v xml:space="preserve">  BYTE &gt;E0 ; UP (MED)</v>
      </c>
    </row>
    <row r="121" spans="1:8" x14ac:dyDescent="0.25">
      <c r="A121">
        <v>24</v>
      </c>
      <c r="C121" s="8" t="s">
        <v>95</v>
      </c>
      <c r="E121" s="2">
        <v>208</v>
      </c>
      <c r="G121" s="2" t="str">
        <f t="shared" si="16"/>
        <v>$D0</v>
      </c>
      <c r="H121" t="str">
        <f t="shared" si="17"/>
        <v xml:space="preserve">  BYTE &gt;D0 ; LEFT</v>
      </c>
    </row>
    <row r="122" spans="1:8" x14ac:dyDescent="0.25">
      <c r="A122">
        <v>25</v>
      </c>
      <c r="C122" s="8" t="s">
        <v>99</v>
      </c>
      <c r="E122" s="2">
        <v>232</v>
      </c>
      <c r="G122" s="2" t="str">
        <f t="shared" si="16"/>
        <v>$E8</v>
      </c>
      <c r="H122" t="str">
        <f t="shared" si="17"/>
        <v xml:space="preserve">  BYTE &gt;E8 ; LEFT (SMALL)</v>
      </c>
    </row>
    <row r="123" spans="1:8" x14ac:dyDescent="0.25">
      <c r="A123">
        <v>26</v>
      </c>
      <c r="C123" s="8" t="s">
        <v>100</v>
      </c>
      <c r="E123" s="2">
        <v>232</v>
      </c>
      <c r="G123" s="2" t="str">
        <f t="shared" si="16"/>
        <v>$E8</v>
      </c>
      <c r="H123" t="str">
        <f t="shared" si="17"/>
        <v xml:space="preserve">  BYTE &gt;E8 ; LEFT (MID)</v>
      </c>
    </row>
    <row r="124" spans="1:8" x14ac:dyDescent="0.25">
      <c r="A124">
        <v>27</v>
      </c>
      <c r="C124" s="8" t="s">
        <v>101</v>
      </c>
      <c r="E124" s="2">
        <v>236</v>
      </c>
      <c r="G124" s="2" t="str">
        <f t="shared" si="16"/>
        <v>$EC</v>
      </c>
      <c r="H124" t="str">
        <f t="shared" si="17"/>
        <v xml:space="preserve">  BYTE &gt;EC ; LEFT (WIDE)</v>
      </c>
    </row>
    <row r="125" spans="1:8" x14ac:dyDescent="0.25">
      <c r="A125">
        <v>28</v>
      </c>
      <c r="C125" s="8" t="s">
        <v>101</v>
      </c>
      <c r="E125" s="2">
        <v>236</v>
      </c>
      <c r="G125" s="2" t="str">
        <f t="shared" si="16"/>
        <v>$EC</v>
      </c>
      <c r="H125" t="str">
        <f t="shared" si="17"/>
        <v xml:space="preserve">  BYTE &gt;EC ; LEFT (WIDE)</v>
      </c>
    </row>
    <row r="126" spans="1:8" x14ac:dyDescent="0.25">
      <c r="A126">
        <v>29</v>
      </c>
      <c r="C126" s="8" t="s">
        <v>100</v>
      </c>
      <c r="E126" s="2">
        <v>232</v>
      </c>
      <c r="G126" s="2" t="str">
        <f t="shared" si="16"/>
        <v>$E8</v>
      </c>
      <c r="H126" t="str">
        <f t="shared" si="17"/>
        <v xml:space="preserve">  BYTE &gt;E8 ; LEFT (MID)</v>
      </c>
    </row>
    <row r="127" spans="1:8" x14ac:dyDescent="0.25">
      <c r="A127">
        <v>30</v>
      </c>
      <c r="C127" s="8" t="s">
        <v>99</v>
      </c>
      <c r="E127" s="2">
        <v>232</v>
      </c>
      <c r="G127" s="2" t="str">
        <f t="shared" si="16"/>
        <v>$E8</v>
      </c>
      <c r="H127" t="str">
        <f t="shared" si="17"/>
        <v xml:space="preserve">  BYTE &gt;E8 ; LEFT (SMALL)</v>
      </c>
    </row>
    <row r="128" spans="1:8" x14ac:dyDescent="0.25">
      <c r="A128">
        <v>31</v>
      </c>
      <c r="C128" s="8" t="s">
        <v>95</v>
      </c>
      <c r="E128" s="2">
        <v>208</v>
      </c>
      <c r="G128" s="2" t="str">
        <f t="shared" si="16"/>
        <v>$D0</v>
      </c>
      <c r="H128" t="str">
        <f t="shared" si="17"/>
        <v xml:space="preserve">  BYTE &gt;D0 ; LEFT</v>
      </c>
    </row>
    <row r="129" spans="1:8" x14ac:dyDescent="0.25">
      <c r="A129">
        <v>32</v>
      </c>
      <c r="C129" s="8" t="s">
        <v>91</v>
      </c>
      <c r="E129" s="2">
        <v>212</v>
      </c>
      <c r="F129" s="2" t="s">
        <v>84</v>
      </c>
      <c r="G129" s="2" t="str">
        <f t="shared" si="16"/>
        <v>$D5</v>
      </c>
      <c r="H129" t="str">
        <f t="shared" si="17"/>
        <v xml:space="preserve">  BYTE &gt;D5 ; DOWN</v>
      </c>
    </row>
    <row r="130" spans="1:8" x14ac:dyDescent="0.25">
      <c r="A130">
        <v>33</v>
      </c>
      <c r="C130" s="8" t="s">
        <v>91</v>
      </c>
      <c r="E130" s="2">
        <v>212</v>
      </c>
      <c r="F130" s="2" t="s">
        <v>84</v>
      </c>
      <c r="G130" s="2" t="str">
        <f t="shared" si="16"/>
        <v>$D5</v>
      </c>
      <c r="H130" t="str">
        <f t="shared" si="17"/>
        <v xml:space="preserve">  BYTE &gt;D5 ; DOWN</v>
      </c>
    </row>
    <row r="131" spans="1:8" x14ac:dyDescent="0.25">
      <c r="A131">
        <v>34</v>
      </c>
      <c r="C131" s="8" t="s">
        <v>91</v>
      </c>
      <c r="E131" s="2">
        <v>212</v>
      </c>
      <c r="F131" s="2" t="s">
        <v>84</v>
      </c>
      <c r="G131" s="2" t="str">
        <f t="shared" si="16"/>
        <v>$D5</v>
      </c>
      <c r="H131" t="str">
        <f t="shared" si="17"/>
        <v xml:space="preserve">  BYTE &gt;D5 ; DOWN</v>
      </c>
    </row>
    <row r="132" spans="1:8" x14ac:dyDescent="0.25">
      <c r="A132">
        <v>35</v>
      </c>
      <c r="C132" s="8" t="s">
        <v>102</v>
      </c>
      <c r="E132" s="2">
        <v>224</v>
      </c>
      <c r="F132" s="2" t="s">
        <v>84</v>
      </c>
      <c r="G132" s="2" t="str">
        <f t="shared" si="16"/>
        <v>$E1</v>
      </c>
      <c r="H132" t="str">
        <f t="shared" si="17"/>
        <v xml:space="preserve">  BYTE &gt;E1 ; DOWN (MID)</v>
      </c>
    </row>
    <row r="133" spans="1:8" x14ac:dyDescent="0.25">
      <c r="A133">
        <v>36</v>
      </c>
      <c r="C133" s="8" t="s">
        <v>102</v>
      </c>
      <c r="E133" s="2">
        <v>224</v>
      </c>
      <c r="F133" s="2" t="s">
        <v>84</v>
      </c>
      <c r="G133" s="2" t="str">
        <f t="shared" si="16"/>
        <v>$E1</v>
      </c>
      <c r="H133" t="str">
        <f t="shared" si="17"/>
        <v xml:space="preserve">  BYTE &gt;E1 ; DOWN (MID)</v>
      </c>
    </row>
    <row r="134" spans="1:8" x14ac:dyDescent="0.25">
      <c r="A134">
        <v>37</v>
      </c>
      <c r="C134" s="8" t="s">
        <v>103</v>
      </c>
      <c r="E134" s="2">
        <v>228</v>
      </c>
      <c r="F134" s="2" t="s">
        <v>84</v>
      </c>
      <c r="G134" s="2" t="str">
        <f t="shared" si="16"/>
        <v>$E5</v>
      </c>
      <c r="H134" t="str">
        <f t="shared" si="17"/>
        <v xml:space="preserve">  BYTE &gt;E5 ; DOWN (WIDE)</v>
      </c>
    </row>
    <row r="135" spans="1:8" x14ac:dyDescent="0.25">
      <c r="A135">
        <v>38</v>
      </c>
      <c r="C135" s="8" t="s">
        <v>103</v>
      </c>
      <c r="E135" s="2">
        <v>228</v>
      </c>
      <c r="F135" s="2" t="s">
        <v>84</v>
      </c>
      <c r="G135" s="2" t="str">
        <f t="shared" si="16"/>
        <v>$E5</v>
      </c>
      <c r="H135" t="str">
        <f t="shared" si="17"/>
        <v xml:space="preserve">  BYTE &gt;E5 ; DOWN (WIDE)</v>
      </c>
    </row>
    <row r="136" spans="1:8" x14ac:dyDescent="0.25">
      <c r="A136">
        <v>39</v>
      </c>
      <c r="C136" s="8" t="s">
        <v>102</v>
      </c>
      <c r="E136" s="2">
        <v>224</v>
      </c>
      <c r="F136" s="2" t="s">
        <v>84</v>
      </c>
      <c r="G136" s="2" t="str">
        <f t="shared" si="16"/>
        <v>$E1</v>
      </c>
      <c r="H136" t="str">
        <f t="shared" si="17"/>
        <v xml:space="preserve">  BYTE &gt;E1 ; DOWN (MID)</v>
      </c>
    </row>
    <row r="137" spans="1:8" x14ac:dyDescent="0.25">
      <c r="A137">
        <v>40</v>
      </c>
      <c r="C137" s="8" t="s">
        <v>93</v>
      </c>
      <c r="E137" s="2">
        <v>208</v>
      </c>
      <c r="F137" s="2" t="s">
        <v>83</v>
      </c>
      <c r="G137" s="2" t="str">
        <f t="shared" si="16"/>
        <v>$D2</v>
      </c>
      <c r="H137" t="str">
        <f t="shared" si="17"/>
        <v xml:space="preserve">  BYTE &gt;D2 ; RIGHT</v>
      </c>
    </row>
    <row r="138" spans="1:8" x14ac:dyDescent="0.25">
      <c r="A138">
        <v>41</v>
      </c>
      <c r="C138" s="8" t="s">
        <v>104</v>
      </c>
      <c r="E138" s="2">
        <v>232</v>
      </c>
      <c r="F138" s="2" t="s">
        <v>83</v>
      </c>
      <c r="G138" s="2" t="str">
        <f t="shared" si="16"/>
        <v>$EA</v>
      </c>
      <c r="H138" t="str">
        <f t="shared" si="17"/>
        <v xml:space="preserve">  BYTE &gt;EA ; RIGHT (SMALL)</v>
      </c>
    </row>
    <row r="139" spans="1:8" x14ac:dyDescent="0.25">
      <c r="A139">
        <v>42</v>
      </c>
      <c r="C139" s="8" t="s">
        <v>105</v>
      </c>
      <c r="E139" s="2">
        <v>232</v>
      </c>
      <c r="F139" s="2" t="s">
        <v>83</v>
      </c>
      <c r="G139" s="2" t="str">
        <f t="shared" si="16"/>
        <v>$EA</v>
      </c>
      <c r="H139" t="str">
        <f t="shared" si="17"/>
        <v xml:space="preserve">  BYTE &gt;EA ; RIGHT (MID)</v>
      </c>
    </row>
    <row r="140" spans="1:8" x14ac:dyDescent="0.25">
      <c r="A140">
        <v>43</v>
      </c>
      <c r="C140" s="8" t="s">
        <v>106</v>
      </c>
      <c r="E140" s="2">
        <v>236</v>
      </c>
      <c r="F140" s="2" t="s">
        <v>83</v>
      </c>
      <c r="G140" s="2" t="str">
        <f t="shared" si="16"/>
        <v>$EE</v>
      </c>
      <c r="H140" t="str">
        <f t="shared" si="17"/>
        <v xml:space="preserve">  BYTE &gt;EE ; RIGHT (WIDE)</v>
      </c>
    </row>
    <row r="141" spans="1:8" x14ac:dyDescent="0.25">
      <c r="A141">
        <v>44</v>
      </c>
      <c r="C141" s="8" t="s">
        <v>106</v>
      </c>
      <c r="E141" s="2">
        <v>236</v>
      </c>
      <c r="F141" s="2" t="s">
        <v>83</v>
      </c>
      <c r="G141" s="2" t="str">
        <f t="shared" si="16"/>
        <v>$EE</v>
      </c>
      <c r="H141" t="str">
        <f t="shared" si="17"/>
        <v xml:space="preserve">  BYTE &gt;EE ; RIGHT (WIDE)</v>
      </c>
    </row>
    <row r="142" spans="1:8" x14ac:dyDescent="0.25">
      <c r="A142">
        <v>45</v>
      </c>
      <c r="C142" s="8" t="s">
        <v>105</v>
      </c>
      <c r="E142" s="2">
        <v>232</v>
      </c>
      <c r="F142" s="2" t="s">
        <v>83</v>
      </c>
      <c r="G142" s="2" t="str">
        <f t="shared" si="16"/>
        <v>$EA</v>
      </c>
      <c r="H142" t="str">
        <f t="shared" si="17"/>
        <v xml:space="preserve">  BYTE &gt;EA ; RIGHT (MID)</v>
      </c>
    </row>
    <row r="143" spans="1:8" x14ac:dyDescent="0.25">
      <c r="A143">
        <v>46</v>
      </c>
      <c r="C143" s="8" t="s">
        <v>104</v>
      </c>
      <c r="E143" s="2">
        <v>232</v>
      </c>
      <c r="F143" s="2" t="s">
        <v>83</v>
      </c>
      <c r="G143" s="2" t="str">
        <f t="shared" si="16"/>
        <v>$EA</v>
      </c>
      <c r="H143" t="str">
        <f t="shared" si="17"/>
        <v xml:space="preserve">  BYTE &gt;EA ; RIGHT (SMALL)</v>
      </c>
    </row>
    <row r="144" spans="1:8" x14ac:dyDescent="0.25">
      <c r="A144">
        <v>47</v>
      </c>
      <c r="C144" s="8" t="s">
        <v>93</v>
      </c>
      <c r="E144" s="2">
        <v>208</v>
      </c>
      <c r="F144" s="2" t="s">
        <v>83</v>
      </c>
      <c r="G144" s="2" t="str">
        <f t="shared" si="16"/>
        <v>$D2</v>
      </c>
      <c r="H144" t="str">
        <f t="shared" si="17"/>
        <v xml:space="preserve">  BYTE &gt;D2 ; RIGHT</v>
      </c>
    </row>
  </sheetData>
  <phoneticPr fontId="4" type="noConversion"/>
  <conditionalFormatting sqref="D2:D67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4294967293" verticalDpi="0" r:id="rId1"/>
  <ignoredErrors>
    <ignoredError sqref="D86 D87:D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2E5-E0EB-4CB2-80C1-A4D9B807C46F}">
  <dimension ref="A1:C256"/>
  <sheetViews>
    <sheetView topLeftCell="A187" workbookViewId="0">
      <selection activeCell="E200" sqref="E200"/>
    </sheetView>
  </sheetViews>
  <sheetFormatPr defaultRowHeight="15" x14ac:dyDescent="0.25"/>
  <cols>
    <col min="1" max="1" width="9.140625" style="1"/>
  </cols>
  <sheetData>
    <row r="1" spans="1:3" x14ac:dyDescent="0.25">
      <c r="A1">
        <v>0</v>
      </c>
      <c r="B1" t="str">
        <f t="shared" ref="B1:B64" si="0">TEXT(C1,"00")</f>
        <v>00</v>
      </c>
      <c r="C1">
        <v>0</v>
      </c>
    </row>
    <row r="2" spans="1:3" x14ac:dyDescent="0.25">
      <c r="A2">
        <v>1</v>
      </c>
      <c r="B2" t="str">
        <f t="shared" si="0"/>
        <v>00</v>
      </c>
      <c r="C2">
        <v>0</v>
      </c>
    </row>
    <row r="3" spans="1:3" x14ac:dyDescent="0.25">
      <c r="A3">
        <v>2</v>
      </c>
      <c r="B3" t="str">
        <f t="shared" si="0"/>
        <v>04</v>
      </c>
      <c r="C3">
        <v>4</v>
      </c>
    </row>
    <row r="4" spans="1:3" x14ac:dyDescent="0.25">
      <c r="A4">
        <v>3</v>
      </c>
      <c r="B4" t="str">
        <f t="shared" si="0"/>
        <v>04</v>
      </c>
      <c r="C4">
        <v>4</v>
      </c>
    </row>
    <row r="5" spans="1:3" x14ac:dyDescent="0.25">
      <c r="A5">
        <v>4</v>
      </c>
      <c r="B5" t="str">
        <f t="shared" si="0"/>
        <v>04</v>
      </c>
      <c r="C5">
        <v>4</v>
      </c>
    </row>
    <row r="6" spans="1:3" x14ac:dyDescent="0.25">
      <c r="A6">
        <v>5</v>
      </c>
      <c r="B6" t="str">
        <f t="shared" si="0"/>
        <v>04</v>
      </c>
      <c r="C6">
        <v>4</v>
      </c>
    </row>
    <row r="7" spans="1:3" x14ac:dyDescent="0.25">
      <c r="A7">
        <v>6</v>
      </c>
      <c r="B7" t="str">
        <f t="shared" si="0"/>
        <v>04</v>
      </c>
      <c r="C7">
        <v>4</v>
      </c>
    </row>
    <row r="8" spans="1:3" x14ac:dyDescent="0.25">
      <c r="A8">
        <v>7</v>
      </c>
      <c r="B8" t="str">
        <f t="shared" si="0"/>
        <v>04</v>
      </c>
      <c r="C8">
        <v>4</v>
      </c>
    </row>
    <row r="9" spans="1:3" x14ac:dyDescent="0.25">
      <c r="A9">
        <v>8</v>
      </c>
      <c r="B9" t="str">
        <f t="shared" si="0"/>
        <v>02</v>
      </c>
      <c r="C9">
        <v>2</v>
      </c>
    </row>
    <row r="10" spans="1:3" x14ac:dyDescent="0.25">
      <c r="A10">
        <v>9</v>
      </c>
      <c r="B10" t="str">
        <f t="shared" si="0"/>
        <v>02</v>
      </c>
      <c r="C10">
        <v>2</v>
      </c>
    </row>
    <row r="11" spans="1:3" x14ac:dyDescent="0.25">
      <c r="A11">
        <v>10</v>
      </c>
      <c r="B11" t="str">
        <f t="shared" si="0"/>
        <v>02</v>
      </c>
      <c r="C11">
        <v>2</v>
      </c>
    </row>
    <row r="12" spans="1:3" x14ac:dyDescent="0.25">
      <c r="A12">
        <v>11</v>
      </c>
      <c r="B12" t="str">
        <f t="shared" si="0"/>
        <v>02</v>
      </c>
      <c r="C12">
        <v>2</v>
      </c>
    </row>
    <row r="13" spans="1:3" x14ac:dyDescent="0.25">
      <c r="A13">
        <v>12</v>
      </c>
      <c r="B13" t="str">
        <f t="shared" si="0"/>
        <v>04</v>
      </c>
      <c r="C13">
        <v>4</v>
      </c>
    </row>
    <row r="14" spans="1:3" x14ac:dyDescent="0.25">
      <c r="A14">
        <v>13</v>
      </c>
      <c r="B14" t="str">
        <f t="shared" si="0"/>
        <v>04</v>
      </c>
      <c r="C14">
        <v>4</v>
      </c>
    </row>
    <row r="15" spans="1:3" x14ac:dyDescent="0.25">
      <c r="A15">
        <v>14</v>
      </c>
      <c r="B15" t="str">
        <f t="shared" si="0"/>
        <v>04</v>
      </c>
      <c r="C15">
        <v>4</v>
      </c>
    </row>
    <row r="16" spans="1:3" x14ac:dyDescent="0.25">
      <c r="A16">
        <v>15</v>
      </c>
      <c r="B16" t="str">
        <f t="shared" si="0"/>
        <v>04</v>
      </c>
      <c r="C16">
        <v>4</v>
      </c>
    </row>
    <row r="17" spans="1:3" x14ac:dyDescent="0.25">
      <c r="A17">
        <v>16</v>
      </c>
      <c r="B17" t="str">
        <f t="shared" si="0"/>
        <v>04</v>
      </c>
      <c r="C17">
        <v>4</v>
      </c>
    </row>
    <row r="18" spans="1:3" x14ac:dyDescent="0.25">
      <c r="A18">
        <v>17</v>
      </c>
      <c r="B18" t="str">
        <f t="shared" si="0"/>
        <v>04</v>
      </c>
      <c r="C18">
        <v>4</v>
      </c>
    </row>
    <row r="19" spans="1:3" x14ac:dyDescent="0.25">
      <c r="A19">
        <v>18</v>
      </c>
      <c r="B19" t="str">
        <f t="shared" si="0"/>
        <v>04</v>
      </c>
      <c r="C19">
        <v>4</v>
      </c>
    </row>
    <row r="20" spans="1:3" x14ac:dyDescent="0.25">
      <c r="A20">
        <v>19</v>
      </c>
      <c r="B20" t="str">
        <f t="shared" si="0"/>
        <v>04</v>
      </c>
      <c r="C20">
        <v>4</v>
      </c>
    </row>
    <row r="21" spans="1:3" x14ac:dyDescent="0.25">
      <c r="A21">
        <v>20</v>
      </c>
      <c r="B21" t="str">
        <f t="shared" si="0"/>
        <v>04</v>
      </c>
      <c r="C21">
        <v>4</v>
      </c>
    </row>
    <row r="22" spans="1:3" x14ac:dyDescent="0.25">
      <c r="A22">
        <v>21</v>
      </c>
      <c r="B22" t="str">
        <f t="shared" si="0"/>
        <v>04</v>
      </c>
      <c r="C22">
        <v>4</v>
      </c>
    </row>
    <row r="23" spans="1:3" x14ac:dyDescent="0.25">
      <c r="A23">
        <v>22</v>
      </c>
      <c r="B23" t="str">
        <f t="shared" si="0"/>
        <v>04</v>
      </c>
      <c r="C23">
        <v>4</v>
      </c>
    </row>
    <row r="24" spans="1:3" x14ac:dyDescent="0.25">
      <c r="A24">
        <v>23</v>
      </c>
      <c r="B24" t="str">
        <f t="shared" si="0"/>
        <v>04</v>
      </c>
      <c r="C24">
        <v>4</v>
      </c>
    </row>
    <row r="25" spans="1:3" x14ac:dyDescent="0.25">
      <c r="A25">
        <v>24</v>
      </c>
      <c r="B25" t="str">
        <f t="shared" si="0"/>
        <v>04</v>
      </c>
      <c r="C25">
        <v>4</v>
      </c>
    </row>
    <row r="26" spans="1:3" x14ac:dyDescent="0.25">
      <c r="A26">
        <v>25</v>
      </c>
      <c r="B26" t="str">
        <f t="shared" si="0"/>
        <v>04</v>
      </c>
      <c r="C26">
        <v>4</v>
      </c>
    </row>
    <row r="27" spans="1:3" x14ac:dyDescent="0.25">
      <c r="A27">
        <v>26</v>
      </c>
      <c r="B27" t="str">
        <f t="shared" si="0"/>
        <v>04</v>
      </c>
      <c r="C27">
        <v>4</v>
      </c>
    </row>
    <row r="28" spans="1:3" x14ac:dyDescent="0.25">
      <c r="A28">
        <v>27</v>
      </c>
      <c r="B28" t="str">
        <f t="shared" si="0"/>
        <v>04</v>
      </c>
      <c r="C28">
        <v>4</v>
      </c>
    </row>
    <row r="29" spans="1:3" x14ac:dyDescent="0.25">
      <c r="A29">
        <v>28</v>
      </c>
      <c r="B29" t="str">
        <f t="shared" si="0"/>
        <v>04</v>
      </c>
      <c r="C29">
        <v>4</v>
      </c>
    </row>
    <row r="30" spans="1:3" x14ac:dyDescent="0.25">
      <c r="A30">
        <v>29</v>
      </c>
      <c r="B30" t="str">
        <f t="shared" si="0"/>
        <v>04</v>
      </c>
      <c r="C30">
        <v>4</v>
      </c>
    </row>
    <row r="31" spans="1:3" x14ac:dyDescent="0.25">
      <c r="A31">
        <v>30</v>
      </c>
      <c r="B31" t="str">
        <f t="shared" si="0"/>
        <v>04</v>
      </c>
      <c r="C31">
        <v>4</v>
      </c>
    </row>
    <row r="32" spans="1:3" x14ac:dyDescent="0.25">
      <c r="A32">
        <v>31</v>
      </c>
      <c r="B32" t="str">
        <f t="shared" si="0"/>
        <v>04</v>
      </c>
      <c r="C32">
        <v>4</v>
      </c>
    </row>
    <row r="33" spans="1:2" x14ac:dyDescent="0.25">
      <c r="A33">
        <v>32</v>
      </c>
      <c r="B33" t="str">
        <f t="shared" si="0"/>
        <v>00</v>
      </c>
    </row>
    <row r="34" spans="1:2" x14ac:dyDescent="0.25">
      <c r="A34">
        <v>33</v>
      </c>
      <c r="B34" t="str">
        <f t="shared" si="0"/>
        <v>00</v>
      </c>
    </row>
    <row r="35" spans="1:2" x14ac:dyDescent="0.25">
      <c r="A35">
        <v>34</v>
      </c>
      <c r="B35" t="str">
        <f t="shared" si="0"/>
        <v>00</v>
      </c>
    </row>
    <row r="36" spans="1:2" x14ac:dyDescent="0.25">
      <c r="A36">
        <v>35</v>
      </c>
      <c r="B36" t="str">
        <f t="shared" si="0"/>
        <v>00</v>
      </c>
    </row>
    <row r="37" spans="1:2" x14ac:dyDescent="0.25">
      <c r="A37">
        <v>36</v>
      </c>
      <c r="B37" t="str">
        <f t="shared" si="0"/>
        <v>00</v>
      </c>
    </row>
    <row r="38" spans="1:2" x14ac:dyDescent="0.25">
      <c r="A38">
        <v>37</v>
      </c>
      <c r="B38" t="str">
        <f t="shared" si="0"/>
        <v>00</v>
      </c>
    </row>
    <row r="39" spans="1:2" x14ac:dyDescent="0.25">
      <c r="A39">
        <v>38</v>
      </c>
      <c r="B39" t="str">
        <f t="shared" si="0"/>
        <v>00</v>
      </c>
    </row>
    <row r="40" spans="1:2" x14ac:dyDescent="0.25">
      <c r="A40">
        <v>39</v>
      </c>
      <c r="B40" t="str">
        <f t="shared" si="0"/>
        <v>00</v>
      </c>
    </row>
    <row r="41" spans="1:2" x14ac:dyDescent="0.25">
      <c r="A41">
        <v>40</v>
      </c>
      <c r="B41" t="str">
        <f t="shared" si="0"/>
        <v>00</v>
      </c>
    </row>
    <row r="42" spans="1:2" x14ac:dyDescent="0.25">
      <c r="A42">
        <v>41</v>
      </c>
      <c r="B42" t="str">
        <f t="shared" si="0"/>
        <v>00</v>
      </c>
    </row>
    <row r="43" spans="1:2" x14ac:dyDescent="0.25">
      <c r="A43">
        <v>42</v>
      </c>
      <c r="B43" t="str">
        <f t="shared" si="0"/>
        <v>00</v>
      </c>
    </row>
    <row r="44" spans="1:2" x14ac:dyDescent="0.25">
      <c r="A44">
        <v>43</v>
      </c>
      <c r="B44" t="str">
        <f t="shared" si="0"/>
        <v>00</v>
      </c>
    </row>
    <row r="45" spans="1:2" x14ac:dyDescent="0.25">
      <c r="A45">
        <v>44</v>
      </c>
      <c r="B45" t="str">
        <f t="shared" si="0"/>
        <v>00</v>
      </c>
    </row>
    <row r="46" spans="1:2" x14ac:dyDescent="0.25">
      <c r="A46">
        <v>45</v>
      </c>
      <c r="B46" t="str">
        <f t="shared" si="0"/>
        <v>00</v>
      </c>
    </row>
    <row r="47" spans="1:2" x14ac:dyDescent="0.25">
      <c r="A47">
        <v>46</v>
      </c>
      <c r="B47" t="str">
        <f t="shared" si="0"/>
        <v>00</v>
      </c>
    </row>
    <row r="48" spans="1:2" x14ac:dyDescent="0.25">
      <c r="A48">
        <v>47</v>
      </c>
      <c r="B48" t="str">
        <f t="shared" si="0"/>
        <v>00</v>
      </c>
    </row>
    <row r="49" spans="1:2" x14ac:dyDescent="0.25">
      <c r="A49">
        <v>48</v>
      </c>
      <c r="B49" t="str">
        <f t="shared" si="0"/>
        <v>00</v>
      </c>
    </row>
    <row r="50" spans="1:2" x14ac:dyDescent="0.25">
      <c r="A50">
        <v>49</v>
      </c>
      <c r="B50" t="str">
        <f t="shared" si="0"/>
        <v>00</v>
      </c>
    </row>
    <row r="51" spans="1:2" x14ac:dyDescent="0.25">
      <c r="A51">
        <v>50</v>
      </c>
      <c r="B51" t="str">
        <f t="shared" si="0"/>
        <v>00</v>
      </c>
    </row>
    <row r="52" spans="1:2" x14ac:dyDescent="0.25">
      <c r="A52">
        <v>51</v>
      </c>
      <c r="B52" t="str">
        <f t="shared" si="0"/>
        <v>00</v>
      </c>
    </row>
    <row r="53" spans="1:2" x14ac:dyDescent="0.25">
      <c r="A53">
        <v>52</v>
      </c>
      <c r="B53" t="str">
        <f t="shared" si="0"/>
        <v>00</v>
      </c>
    </row>
    <row r="54" spans="1:2" x14ac:dyDescent="0.25">
      <c r="A54">
        <v>53</v>
      </c>
      <c r="B54" t="str">
        <f t="shared" si="0"/>
        <v>00</v>
      </c>
    </row>
    <row r="55" spans="1:2" x14ac:dyDescent="0.25">
      <c r="A55">
        <v>54</v>
      </c>
      <c r="B55" t="str">
        <f t="shared" si="0"/>
        <v>00</v>
      </c>
    </row>
    <row r="56" spans="1:2" x14ac:dyDescent="0.25">
      <c r="A56">
        <v>55</v>
      </c>
      <c r="B56" t="str">
        <f t="shared" si="0"/>
        <v>00</v>
      </c>
    </row>
    <row r="57" spans="1:2" x14ac:dyDescent="0.25">
      <c r="A57">
        <v>56</v>
      </c>
      <c r="B57" t="str">
        <f t="shared" si="0"/>
        <v>00</v>
      </c>
    </row>
    <row r="58" spans="1:2" x14ac:dyDescent="0.25">
      <c r="A58">
        <v>57</v>
      </c>
      <c r="B58" t="str">
        <f t="shared" si="0"/>
        <v>00</v>
      </c>
    </row>
    <row r="59" spans="1:2" x14ac:dyDescent="0.25">
      <c r="A59">
        <v>58</v>
      </c>
      <c r="B59" t="str">
        <f t="shared" si="0"/>
        <v>00</v>
      </c>
    </row>
    <row r="60" spans="1:2" x14ac:dyDescent="0.25">
      <c r="A60">
        <v>59</v>
      </c>
      <c r="B60" t="str">
        <f t="shared" si="0"/>
        <v>00</v>
      </c>
    </row>
    <row r="61" spans="1:2" x14ac:dyDescent="0.25">
      <c r="A61">
        <v>60</v>
      </c>
      <c r="B61" t="str">
        <f t="shared" si="0"/>
        <v>00</v>
      </c>
    </row>
    <row r="62" spans="1:2" x14ac:dyDescent="0.25">
      <c r="A62">
        <v>61</v>
      </c>
      <c r="B62" t="str">
        <f t="shared" si="0"/>
        <v>00</v>
      </c>
    </row>
    <row r="63" spans="1:2" x14ac:dyDescent="0.25">
      <c r="A63">
        <v>62</v>
      </c>
      <c r="B63" t="str">
        <f t="shared" si="0"/>
        <v>00</v>
      </c>
    </row>
    <row r="64" spans="1:2" x14ac:dyDescent="0.25">
      <c r="A64">
        <v>63</v>
      </c>
      <c r="B64" t="str">
        <f t="shared" si="0"/>
        <v>00</v>
      </c>
    </row>
    <row r="65" spans="1:2" x14ac:dyDescent="0.25">
      <c r="A65">
        <v>64</v>
      </c>
      <c r="B65" t="str">
        <f t="shared" ref="B65:B128" si="1">TEXT(C65,"00")</f>
        <v>00</v>
      </c>
    </row>
    <row r="66" spans="1:2" x14ac:dyDescent="0.25">
      <c r="A66">
        <v>65</v>
      </c>
      <c r="B66" t="str">
        <f t="shared" si="1"/>
        <v>00</v>
      </c>
    </row>
    <row r="67" spans="1:2" x14ac:dyDescent="0.25">
      <c r="A67">
        <v>66</v>
      </c>
      <c r="B67" t="str">
        <f t="shared" si="1"/>
        <v>00</v>
      </c>
    </row>
    <row r="68" spans="1:2" x14ac:dyDescent="0.25">
      <c r="A68">
        <v>67</v>
      </c>
      <c r="B68" t="str">
        <f t="shared" si="1"/>
        <v>00</v>
      </c>
    </row>
    <row r="69" spans="1:2" x14ac:dyDescent="0.25">
      <c r="A69">
        <v>68</v>
      </c>
      <c r="B69" t="str">
        <f t="shared" si="1"/>
        <v>00</v>
      </c>
    </row>
    <row r="70" spans="1:2" x14ac:dyDescent="0.25">
      <c r="A70">
        <v>69</v>
      </c>
      <c r="B70" t="str">
        <f t="shared" si="1"/>
        <v>00</v>
      </c>
    </row>
    <row r="71" spans="1:2" x14ac:dyDescent="0.25">
      <c r="A71">
        <v>70</v>
      </c>
      <c r="B71" t="str">
        <f t="shared" si="1"/>
        <v>00</v>
      </c>
    </row>
    <row r="72" spans="1:2" x14ac:dyDescent="0.25">
      <c r="A72">
        <v>71</v>
      </c>
      <c r="B72" t="str">
        <f t="shared" si="1"/>
        <v>00</v>
      </c>
    </row>
    <row r="73" spans="1:2" x14ac:dyDescent="0.25">
      <c r="A73">
        <v>72</v>
      </c>
      <c r="B73" t="str">
        <f t="shared" si="1"/>
        <v>00</v>
      </c>
    </row>
    <row r="74" spans="1:2" x14ac:dyDescent="0.25">
      <c r="A74">
        <v>73</v>
      </c>
      <c r="B74" t="str">
        <f t="shared" si="1"/>
        <v>00</v>
      </c>
    </row>
    <row r="75" spans="1:2" x14ac:dyDescent="0.25">
      <c r="A75">
        <v>74</v>
      </c>
      <c r="B75" t="str">
        <f t="shared" si="1"/>
        <v>00</v>
      </c>
    </row>
    <row r="76" spans="1:2" x14ac:dyDescent="0.25">
      <c r="A76">
        <v>75</v>
      </c>
      <c r="B76" t="str">
        <f t="shared" si="1"/>
        <v>00</v>
      </c>
    </row>
    <row r="77" spans="1:2" x14ac:dyDescent="0.25">
      <c r="A77">
        <v>76</v>
      </c>
      <c r="B77" t="str">
        <f t="shared" si="1"/>
        <v>00</v>
      </c>
    </row>
    <row r="78" spans="1:2" x14ac:dyDescent="0.25">
      <c r="A78">
        <v>77</v>
      </c>
      <c r="B78" t="str">
        <f t="shared" si="1"/>
        <v>00</v>
      </c>
    </row>
    <row r="79" spans="1:2" x14ac:dyDescent="0.25">
      <c r="A79">
        <v>78</v>
      </c>
      <c r="B79" t="str">
        <f t="shared" si="1"/>
        <v>00</v>
      </c>
    </row>
    <row r="80" spans="1:2" x14ac:dyDescent="0.25">
      <c r="A80">
        <v>79</v>
      </c>
      <c r="B80" t="str">
        <f t="shared" si="1"/>
        <v>00</v>
      </c>
    </row>
    <row r="81" spans="1:2" x14ac:dyDescent="0.25">
      <c r="A81">
        <v>80</v>
      </c>
      <c r="B81" t="str">
        <f t="shared" si="1"/>
        <v>00</v>
      </c>
    </row>
    <row r="82" spans="1:2" x14ac:dyDescent="0.25">
      <c r="A82">
        <v>81</v>
      </c>
      <c r="B82" t="str">
        <f t="shared" si="1"/>
        <v>00</v>
      </c>
    </row>
    <row r="83" spans="1:2" x14ac:dyDescent="0.25">
      <c r="A83">
        <v>82</v>
      </c>
      <c r="B83" t="str">
        <f t="shared" si="1"/>
        <v>00</v>
      </c>
    </row>
    <row r="84" spans="1:2" x14ac:dyDescent="0.25">
      <c r="A84">
        <v>83</v>
      </c>
      <c r="B84" t="str">
        <f t="shared" si="1"/>
        <v>00</v>
      </c>
    </row>
    <row r="85" spans="1:2" x14ac:dyDescent="0.25">
      <c r="A85">
        <v>84</v>
      </c>
      <c r="B85" t="str">
        <f t="shared" si="1"/>
        <v>00</v>
      </c>
    </row>
    <row r="86" spans="1:2" x14ac:dyDescent="0.25">
      <c r="A86">
        <v>85</v>
      </c>
      <c r="B86" t="str">
        <f t="shared" si="1"/>
        <v>00</v>
      </c>
    </row>
    <row r="87" spans="1:2" x14ac:dyDescent="0.25">
      <c r="A87">
        <v>86</v>
      </c>
      <c r="B87" t="str">
        <f t="shared" si="1"/>
        <v>00</v>
      </c>
    </row>
    <row r="88" spans="1:2" x14ac:dyDescent="0.25">
      <c r="A88">
        <v>87</v>
      </c>
      <c r="B88" t="str">
        <f t="shared" si="1"/>
        <v>00</v>
      </c>
    </row>
    <row r="89" spans="1:2" x14ac:dyDescent="0.25">
      <c r="A89">
        <v>88</v>
      </c>
      <c r="B89" t="str">
        <f t="shared" si="1"/>
        <v>00</v>
      </c>
    </row>
    <row r="90" spans="1:2" x14ac:dyDescent="0.25">
      <c r="A90">
        <v>89</v>
      </c>
      <c r="B90" t="str">
        <f t="shared" si="1"/>
        <v>00</v>
      </c>
    </row>
    <row r="91" spans="1:2" x14ac:dyDescent="0.25">
      <c r="A91">
        <v>90</v>
      </c>
      <c r="B91" t="str">
        <f t="shared" si="1"/>
        <v>00</v>
      </c>
    </row>
    <row r="92" spans="1:2" x14ac:dyDescent="0.25">
      <c r="A92">
        <v>91</v>
      </c>
      <c r="B92" t="str">
        <f t="shared" si="1"/>
        <v>00</v>
      </c>
    </row>
    <row r="93" spans="1:2" x14ac:dyDescent="0.25">
      <c r="A93">
        <v>92</v>
      </c>
      <c r="B93" t="str">
        <f t="shared" si="1"/>
        <v>00</v>
      </c>
    </row>
    <row r="94" spans="1:2" x14ac:dyDescent="0.25">
      <c r="A94">
        <v>93</v>
      </c>
      <c r="B94" t="str">
        <f t="shared" si="1"/>
        <v>00</v>
      </c>
    </row>
    <row r="95" spans="1:2" x14ac:dyDescent="0.25">
      <c r="A95">
        <v>94</v>
      </c>
      <c r="B95" t="str">
        <f t="shared" si="1"/>
        <v>00</v>
      </c>
    </row>
    <row r="96" spans="1:2" x14ac:dyDescent="0.25">
      <c r="A96">
        <v>95</v>
      </c>
      <c r="B96" t="str">
        <f t="shared" si="1"/>
        <v>00</v>
      </c>
    </row>
    <row r="97" spans="1:3" x14ac:dyDescent="0.25">
      <c r="A97">
        <v>96</v>
      </c>
      <c r="B97" t="str">
        <f t="shared" si="1"/>
        <v>0C</v>
      </c>
      <c r="C97" t="s">
        <v>18</v>
      </c>
    </row>
    <row r="98" spans="1:3" x14ac:dyDescent="0.25">
      <c r="A98">
        <v>97</v>
      </c>
      <c r="B98" t="str">
        <f t="shared" si="1"/>
        <v>0C</v>
      </c>
      <c r="C98" t="s">
        <v>18</v>
      </c>
    </row>
    <row r="99" spans="1:3" x14ac:dyDescent="0.25">
      <c r="A99">
        <v>98</v>
      </c>
      <c r="B99" t="str">
        <f t="shared" si="1"/>
        <v>0C</v>
      </c>
      <c r="C99" t="s">
        <v>18</v>
      </c>
    </row>
    <row r="100" spans="1:3" x14ac:dyDescent="0.25">
      <c r="A100">
        <v>99</v>
      </c>
      <c r="B100" t="str">
        <f t="shared" si="1"/>
        <v>0C</v>
      </c>
      <c r="C100" t="s">
        <v>18</v>
      </c>
    </row>
    <row r="101" spans="1:3" x14ac:dyDescent="0.25">
      <c r="A101">
        <v>100</v>
      </c>
      <c r="B101" t="str">
        <f t="shared" si="1"/>
        <v>02</v>
      </c>
      <c r="C101">
        <v>2</v>
      </c>
    </row>
    <row r="102" spans="1:3" x14ac:dyDescent="0.25">
      <c r="A102">
        <v>101</v>
      </c>
      <c r="B102" t="str">
        <f t="shared" si="1"/>
        <v>02</v>
      </c>
      <c r="C102">
        <v>2</v>
      </c>
    </row>
    <row r="103" spans="1:3" x14ac:dyDescent="0.25">
      <c r="A103">
        <v>102</v>
      </c>
      <c r="B103" t="str">
        <f t="shared" si="1"/>
        <v>02</v>
      </c>
      <c r="C103">
        <v>2</v>
      </c>
    </row>
    <row r="104" spans="1:3" x14ac:dyDescent="0.25">
      <c r="A104">
        <v>103</v>
      </c>
      <c r="B104" t="str">
        <f t="shared" si="1"/>
        <v>02</v>
      </c>
      <c r="C104">
        <v>2</v>
      </c>
    </row>
    <row r="105" spans="1:3" x14ac:dyDescent="0.25">
      <c r="A105">
        <v>104</v>
      </c>
      <c r="B105" t="str">
        <f t="shared" si="1"/>
        <v>00</v>
      </c>
      <c r="C105">
        <v>0</v>
      </c>
    </row>
    <row r="106" spans="1:3" x14ac:dyDescent="0.25">
      <c r="A106">
        <v>105</v>
      </c>
      <c r="B106" t="str">
        <f t="shared" si="1"/>
        <v>00</v>
      </c>
      <c r="C106">
        <v>0</v>
      </c>
    </row>
    <row r="107" spans="1:3" x14ac:dyDescent="0.25">
      <c r="A107">
        <v>106</v>
      </c>
      <c r="B107" t="str">
        <f t="shared" si="1"/>
        <v>00</v>
      </c>
      <c r="C107">
        <v>0</v>
      </c>
    </row>
    <row r="108" spans="1:3" x14ac:dyDescent="0.25">
      <c r="A108">
        <v>107</v>
      </c>
      <c r="B108" t="str">
        <f t="shared" si="1"/>
        <v>00</v>
      </c>
      <c r="C108">
        <v>0</v>
      </c>
    </row>
    <row r="109" spans="1:3" x14ac:dyDescent="0.25">
      <c r="A109">
        <v>108</v>
      </c>
      <c r="B109" t="str">
        <f t="shared" si="1"/>
        <v>0A</v>
      </c>
      <c r="C109" t="s">
        <v>14</v>
      </c>
    </row>
    <row r="110" spans="1:3" x14ac:dyDescent="0.25">
      <c r="A110">
        <v>109</v>
      </c>
      <c r="B110" t="str">
        <f t="shared" si="1"/>
        <v>0A</v>
      </c>
      <c r="C110" t="s">
        <v>14</v>
      </c>
    </row>
    <row r="111" spans="1:3" x14ac:dyDescent="0.25">
      <c r="A111">
        <v>110</v>
      </c>
      <c r="B111" t="str">
        <f t="shared" si="1"/>
        <v>0A</v>
      </c>
      <c r="C111" t="s">
        <v>14</v>
      </c>
    </row>
    <row r="112" spans="1:3" x14ac:dyDescent="0.25">
      <c r="A112">
        <v>111</v>
      </c>
      <c r="B112" t="str">
        <f t="shared" si="1"/>
        <v>0A</v>
      </c>
      <c r="C112" t="s">
        <v>14</v>
      </c>
    </row>
    <row r="113" spans="1:3" x14ac:dyDescent="0.25">
      <c r="A113">
        <v>112</v>
      </c>
      <c r="B113" t="str">
        <f t="shared" si="1"/>
        <v>0A</v>
      </c>
      <c r="C113" t="s">
        <v>14</v>
      </c>
    </row>
    <row r="114" spans="1:3" x14ac:dyDescent="0.25">
      <c r="A114">
        <v>113</v>
      </c>
      <c r="B114" t="str">
        <f t="shared" si="1"/>
        <v>0A</v>
      </c>
      <c r="C114" t="s">
        <v>14</v>
      </c>
    </row>
    <row r="115" spans="1:3" x14ac:dyDescent="0.25">
      <c r="A115">
        <v>114</v>
      </c>
      <c r="B115" t="str">
        <f t="shared" si="1"/>
        <v>0A</v>
      </c>
      <c r="C115" t="s">
        <v>14</v>
      </c>
    </row>
    <row r="116" spans="1:3" x14ac:dyDescent="0.25">
      <c r="A116">
        <v>115</v>
      </c>
      <c r="B116" t="str">
        <f t="shared" si="1"/>
        <v>0A</v>
      </c>
      <c r="C116" t="s">
        <v>14</v>
      </c>
    </row>
    <row r="117" spans="1:3" x14ac:dyDescent="0.25">
      <c r="A117">
        <v>116</v>
      </c>
      <c r="B117" t="str">
        <f t="shared" si="1"/>
        <v>0C</v>
      </c>
      <c r="C117" t="s">
        <v>18</v>
      </c>
    </row>
    <row r="118" spans="1:3" x14ac:dyDescent="0.25">
      <c r="A118">
        <v>117</v>
      </c>
      <c r="B118" t="str">
        <f t="shared" si="1"/>
        <v>0C</v>
      </c>
      <c r="C118" t="s">
        <v>18</v>
      </c>
    </row>
    <row r="119" spans="1:3" x14ac:dyDescent="0.25">
      <c r="A119">
        <v>118</v>
      </c>
      <c r="B119" t="str">
        <f t="shared" si="1"/>
        <v>0C</v>
      </c>
      <c r="C119" t="s">
        <v>18</v>
      </c>
    </row>
    <row r="120" spans="1:3" x14ac:dyDescent="0.25">
      <c r="A120">
        <v>119</v>
      </c>
      <c r="B120" t="str">
        <f t="shared" si="1"/>
        <v>04</v>
      </c>
      <c r="C120">
        <v>4</v>
      </c>
    </row>
    <row r="121" spans="1:3" x14ac:dyDescent="0.25">
      <c r="A121">
        <v>120</v>
      </c>
      <c r="B121" t="str">
        <f t="shared" si="1"/>
        <v>04</v>
      </c>
      <c r="C121">
        <v>4</v>
      </c>
    </row>
    <row r="122" spans="1:3" x14ac:dyDescent="0.25">
      <c r="A122">
        <v>121</v>
      </c>
      <c r="B122" t="str">
        <f t="shared" si="1"/>
        <v>04</v>
      </c>
      <c r="C122">
        <v>4</v>
      </c>
    </row>
    <row r="123" spans="1:3" x14ac:dyDescent="0.25">
      <c r="A123">
        <v>122</v>
      </c>
      <c r="B123" t="str">
        <f t="shared" si="1"/>
        <v>04</v>
      </c>
      <c r="C123">
        <v>4</v>
      </c>
    </row>
    <row r="124" spans="1:3" x14ac:dyDescent="0.25">
      <c r="A124">
        <v>123</v>
      </c>
      <c r="B124" t="str">
        <f t="shared" si="1"/>
        <v>04</v>
      </c>
      <c r="C124">
        <v>4</v>
      </c>
    </row>
    <row r="125" spans="1:3" x14ac:dyDescent="0.25">
      <c r="A125">
        <v>124</v>
      </c>
      <c r="B125" t="str">
        <f t="shared" si="1"/>
        <v>04</v>
      </c>
      <c r="C125">
        <v>4</v>
      </c>
    </row>
    <row r="126" spans="1:3" x14ac:dyDescent="0.25">
      <c r="A126">
        <v>125</v>
      </c>
      <c r="B126" t="str">
        <f t="shared" si="1"/>
        <v>04</v>
      </c>
      <c r="C126">
        <v>4</v>
      </c>
    </row>
    <row r="127" spans="1:3" x14ac:dyDescent="0.25">
      <c r="A127">
        <v>126</v>
      </c>
      <c r="B127" t="str">
        <f t="shared" si="1"/>
        <v>04</v>
      </c>
      <c r="C127">
        <v>4</v>
      </c>
    </row>
    <row r="128" spans="1:3" x14ac:dyDescent="0.25">
      <c r="A128">
        <v>127</v>
      </c>
      <c r="B128" t="str">
        <f t="shared" si="1"/>
        <v>04</v>
      </c>
      <c r="C128">
        <v>4</v>
      </c>
    </row>
    <row r="129" spans="1:3" x14ac:dyDescent="0.25">
      <c r="A129">
        <v>128</v>
      </c>
      <c r="B129" t="str">
        <f t="shared" ref="B129:B192" si="2">TEXT(C129,"00")</f>
        <v>04</v>
      </c>
      <c r="C129">
        <v>4</v>
      </c>
    </row>
    <row r="130" spans="1:3" x14ac:dyDescent="0.25">
      <c r="A130">
        <v>129</v>
      </c>
      <c r="B130" t="str">
        <f t="shared" si="2"/>
        <v>04</v>
      </c>
      <c r="C130">
        <v>4</v>
      </c>
    </row>
    <row r="131" spans="1:3" x14ac:dyDescent="0.25">
      <c r="A131">
        <v>130</v>
      </c>
      <c r="B131" t="str">
        <f t="shared" si="2"/>
        <v>04</v>
      </c>
      <c r="C131">
        <v>4</v>
      </c>
    </row>
    <row r="132" spans="1:3" x14ac:dyDescent="0.25">
      <c r="A132">
        <v>131</v>
      </c>
      <c r="B132" t="str">
        <f t="shared" si="2"/>
        <v>04</v>
      </c>
      <c r="C132">
        <v>4</v>
      </c>
    </row>
    <row r="133" spans="1:3" x14ac:dyDescent="0.25">
      <c r="A133">
        <v>132</v>
      </c>
      <c r="B133" t="str">
        <f t="shared" si="2"/>
        <v>04</v>
      </c>
      <c r="C133">
        <v>4</v>
      </c>
    </row>
    <row r="134" spans="1:3" x14ac:dyDescent="0.25">
      <c r="A134">
        <v>133</v>
      </c>
      <c r="B134" t="str">
        <f t="shared" si="2"/>
        <v>04</v>
      </c>
      <c r="C134">
        <v>4</v>
      </c>
    </row>
    <row r="135" spans="1:3" x14ac:dyDescent="0.25">
      <c r="A135">
        <v>134</v>
      </c>
      <c r="B135" t="str">
        <f t="shared" si="2"/>
        <v>04</v>
      </c>
      <c r="C135">
        <v>4</v>
      </c>
    </row>
    <row r="136" spans="1:3" x14ac:dyDescent="0.25">
      <c r="A136">
        <v>135</v>
      </c>
      <c r="B136" t="str">
        <f t="shared" si="2"/>
        <v>04</v>
      </c>
      <c r="C136">
        <v>4</v>
      </c>
    </row>
    <row r="137" spans="1:3" x14ac:dyDescent="0.25">
      <c r="A137">
        <v>136</v>
      </c>
      <c r="B137" t="str">
        <f t="shared" si="2"/>
        <v>04</v>
      </c>
      <c r="C137">
        <v>4</v>
      </c>
    </row>
    <row r="138" spans="1:3" x14ac:dyDescent="0.25">
      <c r="A138">
        <v>137</v>
      </c>
      <c r="B138" t="str">
        <f t="shared" si="2"/>
        <v>04</v>
      </c>
      <c r="C138">
        <v>4</v>
      </c>
    </row>
    <row r="139" spans="1:3" x14ac:dyDescent="0.25">
      <c r="A139">
        <v>138</v>
      </c>
      <c r="B139" t="str">
        <f t="shared" si="2"/>
        <v>04</v>
      </c>
      <c r="C139">
        <v>4</v>
      </c>
    </row>
    <row r="140" spans="1:3" x14ac:dyDescent="0.25">
      <c r="A140">
        <v>139</v>
      </c>
      <c r="B140" t="str">
        <f t="shared" si="2"/>
        <v>04</v>
      </c>
      <c r="C140">
        <v>4</v>
      </c>
    </row>
    <row r="141" spans="1:3" x14ac:dyDescent="0.25">
      <c r="A141">
        <v>140</v>
      </c>
      <c r="B141" t="str">
        <f t="shared" si="2"/>
        <v>04</v>
      </c>
      <c r="C141">
        <v>4</v>
      </c>
    </row>
    <row r="142" spans="1:3" x14ac:dyDescent="0.25">
      <c r="A142">
        <v>141</v>
      </c>
      <c r="B142" t="str">
        <f t="shared" si="2"/>
        <v>04</v>
      </c>
      <c r="C142">
        <v>4</v>
      </c>
    </row>
    <row r="143" spans="1:3" x14ac:dyDescent="0.25">
      <c r="A143">
        <v>142</v>
      </c>
      <c r="B143" t="str">
        <f t="shared" si="2"/>
        <v>04</v>
      </c>
      <c r="C143">
        <v>4</v>
      </c>
    </row>
    <row r="144" spans="1:3" x14ac:dyDescent="0.25">
      <c r="A144">
        <v>143</v>
      </c>
      <c r="B144" t="str">
        <f t="shared" si="2"/>
        <v>04</v>
      </c>
      <c r="C144">
        <v>4</v>
      </c>
    </row>
    <row r="145" spans="1:3" x14ac:dyDescent="0.25">
      <c r="A145">
        <v>144</v>
      </c>
      <c r="B145" t="str">
        <f t="shared" si="2"/>
        <v>02</v>
      </c>
      <c r="C145">
        <v>2</v>
      </c>
    </row>
    <row r="146" spans="1:3" x14ac:dyDescent="0.25">
      <c r="A146">
        <v>145</v>
      </c>
      <c r="B146" t="str">
        <f t="shared" si="2"/>
        <v>0A</v>
      </c>
      <c r="C146" t="s">
        <v>14</v>
      </c>
    </row>
    <row r="147" spans="1:3" x14ac:dyDescent="0.25">
      <c r="A147">
        <v>146</v>
      </c>
      <c r="B147" t="str">
        <f t="shared" si="2"/>
        <v>0A</v>
      </c>
      <c r="C147" t="s">
        <v>14</v>
      </c>
    </row>
    <row r="148" spans="1:3" x14ac:dyDescent="0.25">
      <c r="A148">
        <v>147</v>
      </c>
      <c r="B148" t="str">
        <f t="shared" si="2"/>
        <v>0A</v>
      </c>
      <c r="C148" t="s">
        <v>14</v>
      </c>
    </row>
    <row r="149" spans="1:3" x14ac:dyDescent="0.25">
      <c r="A149">
        <v>148</v>
      </c>
      <c r="B149" t="str">
        <f t="shared" si="2"/>
        <v>0A</v>
      </c>
      <c r="C149" t="s">
        <v>14</v>
      </c>
    </row>
    <row r="150" spans="1:3" x14ac:dyDescent="0.25">
      <c r="A150">
        <v>149</v>
      </c>
      <c r="B150" t="str">
        <f t="shared" si="2"/>
        <v>0A</v>
      </c>
      <c r="C150" t="s">
        <v>14</v>
      </c>
    </row>
    <row r="151" spans="1:3" x14ac:dyDescent="0.25">
      <c r="A151">
        <v>150</v>
      </c>
      <c r="B151" t="str">
        <f t="shared" si="2"/>
        <v>0A</v>
      </c>
      <c r="C151" t="s">
        <v>14</v>
      </c>
    </row>
    <row r="152" spans="1:3" x14ac:dyDescent="0.25">
      <c r="A152">
        <v>151</v>
      </c>
      <c r="B152" t="str">
        <f t="shared" si="2"/>
        <v>0A</v>
      </c>
      <c r="C152" t="s">
        <v>14</v>
      </c>
    </row>
    <row r="153" spans="1:3" x14ac:dyDescent="0.25">
      <c r="A153">
        <v>152</v>
      </c>
      <c r="B153" t="str">
        <f t="shared" si="2"/>
        <v>0A</v>
      </c>
      <c r="C153" t="s">
        <v>14</v>
      </c>
    </row>
    <row r="154" spans="1:3" x14ac:dyDescent="0.25">
      <c r="A154">
        <v>153</v>
      </c>
      <c r="B154" t="str">
        <f t="shared" si="2"/>
        <v>0A</v>
      </c>
      <c r="C154" t="s">
        <v>14</v>
      </c>
    </row>
    <row r="155" spans="1:3" x14ac:dyDescent="0.25">
      <c r="A155">
        <v>154</v>
      </c>
      <c r="B155" t="str">
        <f t="shared" si="2"/>
        <v>0A</v>
      </c>
      <c r="C155" t="s">
        <v>14</v>
      </c>
    </row>
    <row r="156" spans="1:3" x14ac:dyDescent="0.25">
      <c r="A156">
        <v>155</v>
      </c>
      <c r="B156" t="str">
        <f t="shared" si="2"/>
        <v>0A</v>
      </c>
      <c r="C156" t="s">
        <v>14</v>
      </c>
    </row>
    <row r="157" spans="1:3" x14ac:dyDescent="0.25">
      <c r="A157">
        <v>156</v>
      </c>
      <c r="B157" t="str">
        <f t="shared" si="2"/>
        <v>0A</v>
      </c>
      <c r="C157" t="s">
        <v>14</v>
      </c>
    </row>
    <row r="158" spans="1:3" x14ac:dyDescent="0.25">
      <c r="A158">
        <v>157</v>
      </c>
      <c r="B158" t="str">
        <f t="shared" si="2"/>
        <v>0A</v>
      </c>
      <c r="C158" t="s">
        <v>14</v>
      </c>
    </row>
    <row r="159" spans="1:3" x14ac:dyDescent="0.25">
      <c r="A159">
        <v>158</v>
      </c>
      <c r="B159" t="str">
        <f t="shared" si="2"/>
        <v>0A</v>
      </c>
      <c r="C159" t="s">
        <v>14</v>
      </c>
    </row>
    <row r="160" spans="1:3" x14ac:dyDescent="0.25">
      <c r="A160">
        <v>159</v>
      </c>
      <c r="B160" t="str">
        <f t="shared" si="2"/>
        <v>0A</v>
      </c>
      <c r="C160" t="s">
        <v>14</v>
      </c>
    </row>
    <row r="161" spans="1:3" x14ac:dyDescent="0.25">
      <c r="A161">
        <v>160</v>
      </c>
      <c r="B161" t="str">
        <f t="shared" si="2"/>
        <v>06</v>
      </c>
      <c r="C161">
        <v>6</v>
      </c>
    </row>
    <row r="162" spans="1:3" x14ac:dyDescent="0.25">
      <c r="A162">
        <v>161</v>
      </c>
      <c r="B162" t="str">
        <f t="shared" si="2"/>
        <v>06</v>
      </c>
      <c r="C162">
        <v>6</v>
      </c>
    </row>
    <row r="163" spans="1:3" x14ac:dyDescent="0.25">
      <c r="A163">
        <v>162</v>
      </c>
      <c r="B163" t="str">
        <f t="shared" si="2"/>
        <v>06</v>
      </c>
      <c r="C163">
        <v>6</v>
      </c>
    </row>
    <row r="164" spans="1:3" x14ac:dyDescent="0.25">
      <c r="A164">
        <v>163</v>
      </c>
      <c r="B164" t="str">
        <f t="shared" si="2"/>
        <v>06</v>
      </c>
      <c r="C164">
        <v>6</v>
      </c>
    </row>
    <row r="165" spans="1:3" x14ac:dyDescent="0.25">
      <c r="A165">
        <v>164</v>
      </c>
      <c r="B165" t="str">
        <f t="shared" si="2"/>
        <v>02</v>
      </c>
      <c r="C165">
        <v>2</v>
      </c>
    </row>
    <row r="166" spans="1:3" x14ac:dyDescent="0.25">
      <c r="A166">
        <v>165</v>
      </c>
      <c r="B166" t="str">
        <f t="shared" si="2"/>
        <v>02</v>
      </c>
      <c r="C166">
        <v>2</v>
      </c>
    </row>
    <row r="167" spans="1:3" x14ac:dyDescent="0.25">
      <c r="A167">
        <v>166</v>
      </c>
      <c r="B167" t="str">
        <f t="shared" si="2"/>
        <v>02</v>
      </c>
      <c r="C167">
        <v>2</v>
      </c>
    </row>
    <row r="168" spans="1:3" x14ac:dyDescent="0.25">
      <c r="A168">
        <v>167</v>
      </c>
      <c r="B168" t="str">
        <f t="shared" si="2"/>
        <v>02</v>
      </c>
      <c r="C168">
        <v>2</v>
      </c>
    </row>
    <row r="169" spans="1:3" x14ac:dyDescent="0.25">
      <c r="A169">
        <v>168</v>
      </c>
      <c r="B169" t="str">
        <f t="shared" si="2"/>
        <v>02</v>
      </c>
      <c r="C169">
        <v>2</v>
      </c>
    </row>
    <row r="170" spans="1:3" x14ac:dyDescent="0.25">
      <c r="A170">
        <v>169</v>
      </c>
      <c r="B170" t="str">
        <f t="shared" si="2"/>
        <v>02</v>
      </c>
      <c r="C170">
        <v>2</v>
      </c>
    </row>
    <row r="171" spans="1:3" x14ac:dyDescent="0.25">
      <c r="A171">
        <v>170</v>
      </c>
      <c r="B171" t="str">
        <f t="shared" si="2"/>
        <v>02</v>
      </c>
      <c r="C171">
        <v>2</v>
      </c>
    </row>
    <row r="172" spans="1:3" x14ac:dyDescent="0.25">
      <c r="A172">
        <v>171</v>
      </c>
      <c r="B172" t="str">
        <f t="shared" si="2"/>
        <v>02</v>
      </c>
      <c r="C172">
        <v>2</v>
      </c>
    </row>
    <row r="173" spans="1:3" x14ac:dyDescent="0.25">
      <c r="A173">
        <v>172</v>
      </c>
      <c r="B173" t="str">
        <f t="shared" si="2"/>
        <v>02</v>
      </c>
      <c r="C173">
        <v>2</v>
      </c>
    </row>
    <row r="174" spans="1:3" x14ac:dyDescent="0.25">
      <c r="A174">
        <v>173</v>
      </c>
      <c r="B174" t="str">
        <f t="shared" si="2"/>
        <v>02</v>
      </c>
      <c r="C174">
        <v>2</v>
      </c>
    </row>
    <row r="175" spans="1:3" x14ac:dyDescent="0.25">
      <c r="A175">
        <v>174</v>
      </c>
      <c r="B175" t="str">
        <f t="shared" si="2"/>
        <v>02</v>
      </c>
      <c r="C175">
        <v>2</v>
      </c>
    </row>
    <row r="176" spans="1:3" x14ac:dyDescent="0.25">
      <c r="A176">
        <v>175</v>
      </c>
      <c r="B176" t="str">
        <f t="shared" si="2"/>
        <v>02</v>
      </c>
      <c r="C176">
        <v>2</v>
      </c>
    </row>
    <row r="177" spans="1:3" x14ac:dyDescent="0.25">
      <c r="A177">
        <v>176</v>
      </c>
      <c r="B177" t="str">
        <f t="shared" si="2"/>
        <v>02</v>
      </c>
      <c r="C177">
        <v>2</v>
      </c>
    </row>
    <row r="178" spans="1:3" x14ac:dyDescent="0.25">
      <c r="A178">
        <v>177</v>
      </c>
      <c r="B178" t="str">
        <f t="shared" si="2"/>
        <v>02</v>
      </c>
      <c r="C178">
        <v>2</v>
      </c>
    </row>
    <row r="179" spans="1:3" x14ac:dyDescent="0.25">
      <c r="A179">
        <v>178</v>
      </c>
      <c r="B179" t="str">
        <f t="shared" si="2"/>
        <v>02</v>
      </c>
      <c r="C179">
        <v>2</v>
      </c>
    </row>
    <row r="180" spans="1:3" x14ac:dyDescent="0.25">
      <c r="A180">
        <v>179</v>
      </c>
      <c r="B180" t="str">
        <f t="shared" si="2"/>
        <v>02</v>
      </c>
      <c r="C180">
        <v>2</v>
      </c>
    </row>
    <row r="181" spans="1:3" x14ac:dyDescent="0.25">
      <c r="A181">
        <v>180</v>
      </c>
      <c r="B181" t="str">
        <f t="shared" si="2"/>
        <v>02</v>
      </c>
      <c r="C181">
        <v>2</v>
      </c>
    </row>
    <row r="182" spans="1:3" x14ac:dyDescent="0.25">
      <c r="A182">
        <v>181</v>
      </c>
      <c r="B182" t="str">
        <f t="shared" si="2"/>
        <v>02</v>
      </c>
      <c r="C182">
        <v>2</v>
      </c>
    </row>
    <row r="183" spans="1:3" x14ac:dyDescent="0.25">
      <c r="A183">
        <v>182</v>
      </c>
      <c r="B183" t="str">
        <f t="shared" si="2"/>
        <v>02</v>
      </c>
      <c r="C183">
        <v>2</v>
      </c>
    </row>
    <row r="184" spans="1:3" x14ac:dyDescent="0.25">
      <c r="A184">
        <v>183</v>
      </c>
      <c r="B184" t="str">
        <f t="shared" si="2"/>
        <v>02</v>
      </c>
      <c r="C184">
        <v>2</v>
      </c>
    </row>
    <row r="185" spans="1:3" x14ac:dyDescent="0.25">
      <c r="A185">
        <v>184</v>
      </c>
      <c r="B185" t="str">
        <f t="shared" si="2"/>
        <v>00</v>
      </c>
      <c r="C185">
        <v>0</v>
      </c>
    </row>
    <row r="186" spans="1:3" x14ac:dyDescent="0.25">
      <c r="A186">
        <v>185</v>
      </c>
      <c r="B186" t="str">
        <f t="shared" si="2"/>
        <v>00</v>
      </c>
      <c r="C186">
        <v>0</v>
      </c>
    </row>
    <row r="187" spans="1:3" x14ac:dyDescent="0.25">
      <c r="A187">
        <v>186</v>
      </c>
      <c r="B187" t="str">
        <f t="shared" si="2"/>
        <v>00</v>
      </c>
      <c r="C187">
        <v>0</v>
      </c>
    </row>
    <row r="188" spans="1:3" x14ac:dyDescent="0.25">
      <c r="A188">
        <v>187</v>
      </c>
      <c r="B188" t="str">
        <f t="shared" si="2"/>
        <v>00</v>
      </c>
      <c r="C188">
        <v>0</v>
      </c>
    </row>
    <row r="189" spans="1:3" x14ac:dyDescent="0.25">
      <c r="A189">
        <v>188</v>
      </c>
      <c r="B189" t="str">
        <f t="shared" si="2"/>
        <v>08</v>
      </c>
      <c r="C189">
        <v>8</v>
      </c>
    </row>
    <row r="190" spans="1:3" x14ac:dyDescent="0.25">
      <c r="A190">
        <v>189</v>
      </c>
      <c r="B190" t="str">
        <f t="shared" si="2"/>
        <v>08</v>
      </c>
      <c r="C190">
        <v>8</v>
      </c>
    </row>
    <row r="191" spans="1:3" x14ac:dyDescent="0.25">
      <c r="A191">
        <v>190</v>
      </c>
      <c r="B191" t="str">
        <f t="shared" si="2"/>
        <v>08</v>
      </c>
      <c r="C191">
        <v>8</v>
      </c>
    </row>
    <row r="192" spans="1:3" x14ac:dyDescent="0.25">
      <c r="A192">
        <v>191</v>
      </c>
      <c r="B192" t="str">
        <f t="shared" si="2"/>
        <v>08</v>
      </c>
      <c r="C192">
        <v>8</v>
      </c>
    </row>
    <row r="193" spans="1:3" x14ac:dyDescent="0.25">
      <c r="A193">
        <v>192</v>
      </c>
      <c r="B193" t="str">
        <f t="shared" ref="B193:B256" si="3">TEXT(C193,"00")</f>
        <v>06</v>
      </c>
      <c r="C193">
        <v>6</v>
      </c>
    </row>
    <row r="194" spans="1:3" x14ac:dyDescent="0.25">
      <c r="A194">
        <v>193</v>
      </c>
      <c r="B194" t="str">
        <f t="shared" si="3"/>
        <v>06</v>
      </c>
      <c r="C194">
        <v>6</v>
      </c>
    </row>
    <row r="195" spans="1:3" x14ac:dyDescent="0.25">
      <c r="A195">
        <v>194</v>
      </c>
      <c r="B195" t="str">
        <f t="shared" si="3"/>
        <v>06</v>
      </c>
      <c r="C195">
        <v>6</v>
      </c>
    </row>
    <row r="196" spans="1:3" x14ac:dyDescent="0.25">
      <c r="A196">
        <v>195</v>
      </c>
      <c r="B196" t="str">
        <f t="shared" si="3"/>
        <v>06</v>
      </c>
      <c r="C196">
        <v>6</v>
      </c>
    </row>
    <row r="197" spans="1:3" x14ac:dyDescent="0.25">
      <c r="A197">
        <v>196</v>
      </c>
      <c r="B197" t="str">
        <f t="shared" si="3"/>
        <v>04</v>
      </c>
      <c r="C197">
        <v>4</v>
      </c>
    </row>
    <row r="198" spans="1:3" x14ac:dyDescent="0.25">
      <c r="A198">
        <v>197</v>
      </c>
      <c r="B198" t="str">
        <f t="shared" si="3"/>
        <v>04</v>
      </c>
      <c r="C198">
        <v>4</v>
      </c>
    </row>
    <row r="199" spans="1:3" x14ac:dyDescent="0.25">
      <c r="A199">
        <v>198</v>
      </c>
      <c r="B199" t="str">
        <f t="shared" si="3"/>
        <v>04</v>
      </c>
      <c r="C199">
        <v>4</v>
      </c>
    </row>
    <row r="200" spans="1:3" x14ac:dyDescent="0.25">
      <c r="A200">
        <v>199</v>
      </c>
      <c r="B200" t="str">
        <f t="shared" si="3"/>
        <v>04</v>
      </c>
      <c r="C200">
        <v>4</v>
      </c>
    </row>
    <row r="201" spans="1:3" x14ac:dyDescent="0.25">
      <c r="A201">
        <v>200</v>
      </c>
      <c r="B201" t="str">
        <f t="shared" si="3"/>
        <v>04</v>
      </c>
      <c r="C201">
        <v>4</v>
      </c>
    </row>
    <row r="202" spans="1:3" x14ac:dyDescent="0.25">
      <c r="A202">
        <v>201</v>
      </c>
      <c r="B202" t="str">
        <f t="shared" si="3"/>
        <v>04</v>
      </c>
      <c r="C202">
        <v>4</v>
      </c>
    </row>
    <row r="203" spans="1:3" x14ac:dyDescent="0.25">
      <c r="A203">
        <v>202</v>
      </c>
      <c r="B203" t="str">
        <f t="shared" si="3"/>
        <v>04</v>
      </c>
      <c r="C203">
        <v>4</v>
      </c>
    </row>
    <row r="204" spans="1:3" x14ac:dyDescent="0.25">
      <c r="A204">
        <v>203</v>
      </c>
      <c r="B204" t="str">
        <f t="shared" si="3"/>
        <v>04</v>
      </c>
      <c r="C204">
        <v>4</v>
      </c>
    </row>
    <row r="205" spans="1:3" x14ac:dyDescent="0.25">
      <c r="A205">
        <v>204</v>
      </c>
      <c r="B205" t="str">
        <f t="shared" si="3"/>
        <v>04</v>
      </c>
      <c r="C205">
        <v>4</v>
      </c>
    </row>
    <row r="206" spans="1:3" x14ac:dyDescent="0.25">
      <c r="A206">
        <v>205</v>
      </c>
      <c r="B206" t="str">
        <f t="shared" si="3"/>
        <v>04</v>
      </c>
      <c r="C206">
        <v>4</v>
      </c>
    </row>
    <row r="207" spans="1:3" x14ac:dyDescent="0.25">
      <c r="A207">
        <v>206</v>
      </c>
      <c r="B207" t="str">
        <f t="shared" si="3"/>
        <v>04</v>
      </c>
      <c r="C207">
        <v>4</v>
      </c>
    </row>
    <row r="208" spans="1:3" x14ac:dyDescent="0.25">
      <c r="A208">
        <v>207</v>
      </c>
      <c r="B208" t="str">
        <f t="shared" si="3"/>
        <v>04</v>
      </c>
      <c r="C208">
        <v>4</v>
      </c>
    </row>
    <row r="209" spans="1:3" x14ac:dyDescent="0.25">
      <c r="A209">
        <v>208</v>
      </c>
      <c r="B209" t="str">
        <f t="shared" si="3"/>
        <v>00</v>
      </c>
      <c r="C209">
        <v>0</v>
      </c>
    </row>
    <row r="210" spans="1:3" x14ac:dyDescent="0.25">
      <c r="A210">
        <v>209</v>
      </c>
      <c r="B210" t="str">
        <f t="shared" si="3"/>
        <v>00</v>
      </c>
      <c r="C210">
        <v>0</v>
      </c>
    </row>
    <row r="211" spans="1:3" x14ac:dyDescent="0.25">
      <c r="A211">
        <v>210</v>
      </c>
      <c r="B211" t="str">
        <f t="shared" si="3"/>
        <v>00</v>
      </c>
      <c r="C211">
        <v>0</v>
      </c>
    </row>
    <row r="212" spans="1:3" x14ac:dyDescent="0.25">
      <c r="A212">
        <v>211</v>
      </c>
      <c r="B212" t="str">
        <f t="shared" si="3"/>
        <v>00</v>
      </c>
      <c r="C212">
        <v>0</v>
      </c>
    </row>
    <row r="213" spans="1:3" x14ac:dyDescent="0.25">
      <c r="A213">
        <v>212</v>
      </c>
      <c r="B213" t="str">
        <f t="shared" si="3"/>
        <v>00</v>
      </c>
      <c r="C213">
        <v>0</v>
      </c>
    </row>
    <row r="214" spans="1:3" x14ac:dyDescent="0.25">
      <c r="A214">
        <v>213</v>
      </c>
      <c r="B214" t="str">
        <f t="shared" si="3"/>
        <v>00</v>
      </c>
    </row>
    <row r="215" spans="1:3" x14ac:dyDescent="0.25">
      <c r="A215">
        <v>214</v>
      </c>
      <c r="B215" t="str">
        <f t="shared" si="3"/>
        <v>00</v>
      </c>
    </row>
    <row r="216" spans="1:3" x14ac:dyDescent="0.25">
      <c r="A216">
        <v>215</v>
      </c>
      <c r="B216" t="str">
        <f t="shared" si="3"/>
        <v>00</v>
      </c>
    </row>
    <row r="217" spans="1:3" x14ac:dyDescent="0.25">
      <c r="A217">
        <v>216</v>
      </c>
      <c r="B217" t="str">
        <f t="shared" si="3"/>
        <v>00</v>
      </c>
    </row>
    <row r="218" spans="1:3" x14ac:dyDescent="0.25">
      <c r="A218">
        <v>217</v>
      </c>
      <c r="B218" t="str">
        <f t="shared" si="3"/>
        <v>00</v>
      </c>
    </row>
    <row r="219" spans="1:3" x14ac:dyDescent="0.25">
      <c r="A219">
        <v>218</v>
      </c>
      <c r="B219" t="str">
        <f t="shared" si="3"/>
        <v>00</v>
      </c>
    </row>
    <row r="220" spans="1:3" x14ac:dyDescent="0.25">
      <c r="A220">
        <v>219</v>
      </c>
      <c r="B220" t="str">
        <f t="shared" si="3"/>
        <v>00</v>
      </c>
    </row>
    <row r="221" spans="1:3" x14ac:dyDescent="0.25">
      <c r="A221">
        <v>220</v>
      </c>
      <c r="B221" t="str">
        <f t="shared" si="3"/>
        <v>00</v>
      </c>
    </row>
    <row r="222" spans="1:3" x14ac:dyDescent="0.25">
      <c r="A222">
        <v>221</v>
      </c>
      <c r="B222" t="str">
        <f t="shared" si="3"/>
        <v>00</v>
      </c>
    </row>
    <row r="223" spans="1:3" x14ac:dyDescent="0.25">
      <c r="A223">
        <v>222</v>
      </c>
      <c r="B223" t="str">
        <f t="shared" si="3"/>
        <v>00</v>
      </c>
    </row>
    <row r="224" spans="1:3" x14ac:dyDescent="0.25">
      <c r="A224">
        <v>223</v>
      </c>
      <c r="B224" t="str">
        <f t="shared" si="3"/>
        <v>00</v>
      </c>
    </row>
    <row r="225" spans="1:2" x14ac:dyDescent="0.25">
      <c r="A225">
        <v>224</v>
      </c>
      <c r="B225" t="str">
        <f t="shared" si="3"/>
        <v>00</v>
      </c>
    </row>
    <row r="226" spans="1:2" x14ac:dyDescent="0.25">
      <c r="A226">
        <v>225</v>
      </c>
      <c r="B226" t="str">
        <f t="shared" si="3"/>
        <v>00</v>
      </c>
    </row>
    <row r="227" spans="1:2" x14ac:dyDescent="0.25">
      <c r="A227">
        <v>226</v>
      </c>
      <c r="B227" t="str">
        <f t="shared" si="3"/>
        <v>00</v>
      </c>
    </row>
    <row r="228" spans="1:2" x14ac:dyDescent="0.25">
      <c r="A228">
        <v>227</v>
      </c>
      <c r="B228" t="str">
        <f t="shared" si="3"/>
        <v>00</v>
      </c>
    </row>
    <row r="229" spans="1:2" x14ac:dyDescent="0.25">
      <c r="A229">
        <v>228</v>
      </c>
      <c r="B229" t="str">
        <f t="shared" si="3"/>
        <v>00</v>
      </c>
    </row>
    <row r="230" spans="1:2" x14ac:dyDescent="0.25">
      <c r="A230">
        <v>229</v>
      </c>
      <c r="B230" t="str">
        <f t="shared" si="3"/>
        <v>00</v>
      </c>
    </row>
    <row r="231" spans="1:2" x14ac:dyDescent="0.25">
      <c r="A231">
        <v>230</v>
      </c>
      <c r="B231" t="str">
        <f t="shared" si="3"/>
        <v>00</v>
      </c>
    </row>
    <row r="232" spans="1:2" x14ac:dyDescent="0.25">
      <c r="A232">
        <v>231</v>
      </c>
      <c r="B232" t="str">
        <f t="shared" si="3"/>
        <v>00</v>
      </c>
    </row>
    <row r="233" spans="1:2" x14ac:dyDescent="0.25">
      <c r="A233">
        <v>232</v>
      </c>
      <c r="B233" t="str">
        <f t="shared" si="3"/>
        <v>00</v>
      </c>
    </row>
    <row r="234" spans="1:2" x14ac:dyDescent="0.25">
      <c r="A234">
        <v>233</v>
      </c>
      <c r="B234" t="str">
        <f t="shared" si="3"/>
        <v>00</v>
      </c>
    </row>
    <row r="235" spans="1:2" x14ac:dyDescent="0.25">
      <c r="A235">
        <v>234</v>
      </c>
      <c r="B235" t="str">
        <f t="shared" si="3"/>
        <v>00</v>
      </c>
    </row>
    <row r="236" spans="1:2" x14ac:dyDescent="0.25">
      <c r="A236">
        <v>235</v>
      </c>
      <c r="B236" t="str">
        <f t="shared" si="3"/>
        <v>00</v>
      </c>
    </row>
    <row r="237" spans="1:2" x14ac:dyDescent="0.25">
      <c r="A237">
        <v>236</v>
      </c>
      <c r="B237" t="str">
        <f t="shared" si="3"/>
        <v>00</v>
      </c>
    </row>
    <row r="238" spans="1:2" x14ac:dyDescent="0.25">
      <c r="A238">
        <v>237</v>
      </c>
      <c r="B238" t="str">
        <f t="shared" si="3"/>
        <v>00</v>
      </c>
    </row>
    <row r="239" spans="1:2" x14ac:dyDescent="0.25">
      <c r="A239">
        <v>238</v>
      </c>
      <c r="B239" t="str">
        <f t="shared" si="3"/>
        <v>00</v>
      </c>
    </row>
    <row r="240" spans="1:2" x14ac:dyDescent="0.25">
      <c r="A240">
        <v>239</v>
      </c>
      <c r="B240" t="str">
        <f t="shared" si="3"/>
        <v>00</v>
      </c>
    </row>
    <row r="241" spans="1:2" x14ac:dyDescent="0.25">
      <c r="A241">
        <v>240</v>
      </c>
      <c r="B241" t="str">
        <f t="shared" si="3"/>
        <v>00</v>
      </c>
    </row>
    <row r="242" spans="1:2" x14ac:dyDescent="0.25">
      <c r="A242">
        <v>241</v>
      </c>
      <c r="B242" t="str">
        <f t="shared" si="3"/>
        <v>00</v>
      </c>
    </row>
    <row r="243" spans="1:2" x14ac:dyDescent="0.25">
      <c r="A243">
        <v>242</v>
      </c>
      <c r="B243" t="str">
        <f t="shared" si="3"/>
        <v>00</v>
      </c>
    </row>
    <row r="244" spans="1:2" x14ac:dyDescent="0.25">
      <c r="A244">
        <v>243</v>
      </c>
      <c r="B244" t="str">
        <f t="shared" si="3"/>
        <v>00</v>
      </c>
    </row>
    <row r="245" spans="1:2" x14ac:dyDescent="0.25">
      <c r="A245">
        <v>244</v>
      </c>
      <c r="B245" t="str">
        <f t="shared" si="3"/>
        <v>00</v>
      </c>
    </row>
    <row r="246" spans="1:2" x14ac:dyDescent="0.25">
      <c r="A246">
        <v>245</v>
      </c>
      <c r="B246" t="str">
        <f t="shared" si="3"/>
        <v>00</v>
      </c>
    </row>
    <row r="247" spans="1:2" x14ac:dyDescent="0.25">
      <c r="A247">
        <v>246</v>
      </c>
      <c r="B247" t="str">
        <f t="shared" si="3"/>
        <v>00</v>
      </c>
    </row>
    <row r="248" spans="1:2" x14ac:dyDescent="0.25">
      <c r="A248">
        <v>247</v>
      </c>
      <c r="B248" t="str">
        <f t="shared" si="3"/>
        <v>00</v>
      </c>
    </row>
    <row r="249" spans="1:2" x14ac:dyDescent="0.25">
      <c r="A249">
        <v>248</v>
      </c>
      <c r="B249" t="str">
        <f t="shared" si="3"/>
        <v>00</v>
      </c>
    </row>
    <row r="250" spans="1:2" x14ac:dyDescent="0.25">
      <c r="A250">
        <v>249</v>
      </c>
      <c r="B250" t="str">
        <f t="shared" si="3"/>
        <v>00</v>
      </c>
    </row>
    <row r="251" spans="1:2" x14ac:dyDescent="0.25">
      <c r="A251">
        <v>250</v>
      </c>
      <c r="B251" t="str">
        <f t="shared" si="3"/>
        <v>00</v>
      </c>
    </row>
    <row r="252" spans="1:2" x14ac:dyDescent="0.25">
      <c r="A252">
        <v>251</v>
      </c>
      <c r="B252" t="str">
        <f t="shared" si="3"/>
        <v>00</v>
      </c>
    </row>
    <row r="253" spans="1:2" x14ac:dyDescent="0.25">
      <c r="A253">
        <v>252</v>
      </c>
      <c r="B253" t="str">
        <f t="shared" si="3"/>
        <v>00</v>
      </c>
    </row>
    <row r="254" spans="1:2" x14ac:dyDescent="0.25">
      <c r="A254">
        <v>253</v>
      </c>
      <c r="B254" t="str">
        <f t="shared" si="3"/>
        <v>00</v>
      </c>
    </row>
    <row r="255" spans="1:2" x14ac:dyDescent="0.25">
      <c r="A255">
        <v>254</v>
      </c>
      <c r="B255" t="str">
        <f t="shared" si="3"/>
        <v>00</v>
      </c>
    </row>
    <row r="256" spans="1:2" x14ac:dyDescent="0.25">
      <c r="A256">
        <v>255</v>
      </c>
      <c r="B256" t="str">
        <f t="shared" si="3"/>
        <v>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B477-D0F6-44BF-9781-E9361C2EB9FE}">
  <dimension ref="A1"/>
  <sheetViews>
    <sheetView workbookViewId="0">
      <selection sqref="A1:L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Schrapel</dc:creator>
  <cp:lastModifiedBy>Troy Schrapel</cp:lastModifiedBy>
  <dcterms:created xsi:type="dcterms:W3CDTF">2026-01-23T05:59:27Z</dcterms:created>
  <dcterms:modified xsi:type="dcterms:W3CDTF">2026-03-02T22:01:51Z</dcterms:modified>
</cp:coreProperties>
</file>